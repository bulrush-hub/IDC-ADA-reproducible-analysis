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ef2c11653340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76a51b816e14095"/>
    <x:sheet xmlns:r="http://schemas.openxmlformats.org/officeDocument/2006/relationships" name="Test_Comparison" sheetId="2" r:id="R884c3809cc344cdb"/>
    <x:sheet xmlns:r="http://schemas.openxmlformats.org/officeDocument/2006/relationships" name="CV_Comparison" sheetId="3" r:id="R51d9c4eb74c346b5"/>
    <x:sheet xmlns:r="http://schemas.openxmlformats.org/officeDocument/2006/relationships" name="CV_Folds" sheetId="4" r:id="R608394a833af4108"/>
    <x:sheet xmlns:r="http://schemas.openxmlformats.org/officeDocument/2006/relationships" name="Bootstrap_CI" sheetId="5" r:id="R1059092849444cb6"/>
    <x:sheet xmlns:r="http://schemas.openxmlformats.org/officeDocument/2006/relationships" name="Feature_Importance" sheetId="6" r:id="R0da29a337dc6426b"/>
    <x:sheet xmlns:r="http://schemas.openxmlformats.org/officeDocument/2006/relationships" name="Predictions" sheetId="7" r:id="Rba0dc00fee2b44eb"/>
    <x:sheet xmlns:r="http://schemas.openxmlformats.org/officeDocument/2006/relationships" name="Runtime_Environment" sheetId="8" r:id="R35f5fbf75d624cb4"/>
    <x:sheet xmlns:r="http://schemas.openxmlformats.org/officeDocument/2006/relationships" name="Methods_Limitations" sheetId="9" r:id="Rc16d24d4356f4d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0.0%"/>
    <x:numFmt numFmtId="202" formatCode="0.0000"/>
    <x:numFmt numFmtId="203" formatCode="0.0"/>
    <x:numFmt numFmtId="204" formatCode="0.00"/>
  </x:numFmts>
  <x:fonts count="15">
    <x:font>
      <x:sz val="11"/>
      <x:name val="Carlito"/>
    </x:font>
    <x:font>
      <x:b/>
      <x:sz val="18"/>
      <x:color rgb="FFFFFFFF"/>
      <x:name val="Aptos Display"/>
    </x:font>
    <x:font>
      <x:sz val="10"/>
      <x:color rgb="FF0F172A"/>
      <x:name val="Aptos"/>
    </x:font>
    <x:font>
      <x:b/>
      <x:sz val="11"/>
      <x:color rgb="FF17324D"/>
      <x:name val="Aptos"/>
    </x:font>
    <x:font>
      <x:b/>
      <x:sz val="9"/>
      <x:color rgb="FF64748B"/>
      <x:name val="Carlito"/>
    </x:font>
    <x:font>
      <x:b/>
      <x:sz val="13"/>
      <x:color rgb="FF0F172A"/>
      <x:name val="Carlito"/>
    </x:font>
    <x:font>
      <x:b/>
      <x:sz val="11"/>
      <x:color rgb="FFFFFFFF"/>
      <x:name val="Aptos"/>
    </x:font>
    <x:font>
      <x:b/>
      <x:sz val="11"/>
      <x:color rgb="FFFFFFFF"/>
      <x:name val="Carlito"/>
    </x:font>
    <x:font>
      <x:sz val="10"/>
      <x:color rgb="FF0F172A"/>
      <x:name val="Carlito"/>
    </x:font>
    <x:font>
      <x:sz val="10"/>
      <x:color rgb="FF78350F"/>
      <x:name val="Carlito"/>
    </x:font>
    <x:font>
      <x:b/>
      <x:sz val="18"/>
      <x:color rgb="FFFFFFFF"/>
      <x:name val="Aptos"/>
    </x:font>
    <x:font>
      <x:sz val="11"/>
      <x:name val="Aptos"/>
    </x:font>
    <x:font>
      <x:b/>
      <x:sz val="9"/>
      <x:color rgb="FF64748B"/>
      <x:name val="Aptos"/>
    </x:font>
    <x:font>
      <x:b/>
      <x:sz val="13"/>
      <x:color rgb="FF0F172A"/>
      <x:name val="Aptos"/>
    </x:font>
    <x:font>
      <x:sz val="10"/>
      <x:color rgb="FF78350F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DFF4F1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0F766E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</x:fills>
  <x:borders count="8">
    <x:border/>
    <x:border>
      <x:left style="thin">
        <x:color rgb="FFD7E0E8"/>
      </x:left>
      <x:top style="thin">
        <x:color rgb="FFD7E0E8"/>
      </x:top>
      <x:bottom style="thin">
        <x:color rgb="FFD7E0E8"/>
      </x:bottom>
    </x:border>
    <x:border>
      <x:top style="thin">
        <x:color rgb="FFD7E0E8"/>
      </x:top>
      <x:bottom style="thin">
        <x:color rgb="FFD7E0E8"/>
      </x:bottom>
    </x:border>
    <x:border>
      <x:right style="thin">
        <x:color rgb="FFD7E0E8"/>
      </x:right>
      <x:top style="thin">
        <x:color rgb="FFD7E0E8"/>
      </x:top>
      <x:bottom style="thin">
        <x:color rgb="FFD7E0E8"/>
      </x:bottom>
    </x:border>
    <x:border>
      <x:left style="thin">
        <x:color rgb="FF0F766E"/>
      </x:left>
      <x:top style="thin">
        <x:color rgb="FF0F766E"/>
      </x:top>
      <x:bottom style="thin">
        <x:color rgb="FF0F766E"/>
      </x:bottom>
    </x:border>
    <x:border>
      <x:top style="thin">
        <x:color rgb="FF0F766E"/>
      </x:top>
      <x:bottom style="thin">
        <x:color rgb="FF0F766E"/>
      </x:bottom>
    </x:border>
    <x:border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bottom style="thin">
        <x:color rgb="FFD7E0E8"/>
      </x:bottom>
    </x:border>
  </x:borders>
  <x:cellStyleXfs count="1">
    <x:xf numFmtId="0" fontId="0" fillId="0" borderId="0"/>
  </x:cellStyleXfs>
  <x:cellXfs count="7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2" xfId="0" applyNumberFormat="1" applyFont="1" applyFill="1" applyBorder="1" applyAlignment="1">
      <x:alignment horizontal="center"/>
    </x:xf>
    <x:xf numFmtId="0" fontId="5" fillId="6" borderId="3" xfId="0" applyNumberFormat="1" applyFont="1" applyFill="1" applyBorder="1" applyAlignment="1">
      <x:alignment horizontal="center"/>
    </x:xf>
    <x:xf numFmtId="200" fontId="5" fillId="6" borderId="1" xfId="0" applyNumberFormat="1" applyFont="1" applyFill="1" applyBorder="1" applyAlignment="1">
      <x:alignment horizontal="center"/>
    </x:xf>
    <x:xf numFmtId="200" fontId="5" fillId="6" borderId="2" xfId="0" applyNumberFormat="1" applyFont="1" applyFill="1" applyBorder="1" applyAlignment="1">
      <x:alignment horizontal="center"/>
    </x:xf>
    <x:xf numFmtId="201" fontId="5" fillId="6" borderId="3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4" xfId="0" applyNumberFormat="1" applyFont="1" applyFill="1" applyBorder="1"/>
    <x:xf numFmtId="0" fontId="6" fillId="7" borderId="5" xfId="0" applyNumberFormat="1" applyFont="1" applyFill="1" applyBorder="1"/>
    <x:xf numFmtId="0" fontId="6" fillId="7" borderId="6" xfId="0" applyNumberFormat="1" applyFont="1" applyFill="1" applyBorder="1"/>
    <x:xf numFmtId="0" fontId="6" fillId="7" borderId="4" xfId="0" applyNumberFormat="1" applyFont="1" applyFill="1" applyBorder="1" applyAlignment="1">
      <x:alignment wrapText="1"/>
    </x:xf>
    <x:xf numFmtId="0" fontId="6" fillId="7" borderId="5" xfId="0" applyNumberFormat="1" applyFont="1" applyFill="1" applyBorder="1" applyAlignment="1">
      <x:alignment wrapText="1"/>
    </x:xf>
    <x:xf numFmtId="0" fontId="6" fillId="7" borderId="6" xfId="0" applyNumberFormat="1" applyFont="1" applyFill="1" applyBorder="1" applyAlignment="1">
      <x:alignment wrapText="1"/>
    </x:xf>
    <x:xf numFmtId="0" fontId="6" fillId="7" borderId="4" xfId="0" applyNumberFormat="1" applyFont="1" applyFill="1" applyBorder="1" applyAlignment="1">
      <x:alignment horizontal="center" wrapText="1"/>
    </x:xf>
    <x:xf numFmtId="0" fontId="6" fillId="7" borderId="5" xfId="0" applyNumberFormat="1" applyFont="1" applyFill="1" applyBorder="1" applyAlignment="1">
      <x:alignment horizontal="center" wrapText="1"/>
    </x:xf>
    <x:xf numFmtId="0" fontId="6" fillId="7" borderId="6" xfId="0" applyNumberFormat="1" applyFont="1" applyFill="1" applyBorder="1" applyAlignment="1">
      <x:alignment horizontal="center" wrapText="1"/>
    </x:xf>
    <x:xf numFmtId="0" fontId="6" fillId="7" borderId="4" xfId="0" applyNumberFormat="1" applyFont="1" applyFill="1" applyBorder="1" applyAlignment="1">
      <x:alignment horizontal="center" vertical="center" wrapText="1"/>
    </x:xf>
    <x:xf numFmtId="0" fontId="6" fillId="7" borderId="5" xfId="0" applyNumberFormat="1" applyFont="1" applyFill="1" applyBorder="1" applyAlignment="1">
      <x:alignment horizontal="center" vertical="center" wrapText="1"/>
    </x:xf>
    <x:xf numFmtId="0" fontId="6" fillId="7" borderId="6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7" xfId="0" applyNumberFormat="1" applyFont="1" applyFill="1" applyBorder="1"/>
    <x:xf numFmtId="0" fontId="2" fillId="0" borderId="2" xfId="0" applyNumberFormat="1" applyFont="1" applyFill="1" applyBorder="1"/>
    <x:xf numFmtId="0" fontId="2" fillId="0" borderId="7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202" fontId="2" fillId="0" borderId="7" xfId="0" applyNumberFormat="1" applyFont="1" applyFill="1" applyBorder="1" applyAlignment="1">
      <x:alignment vertical="center"/>
    </x:xf>
    <x:xf numFmtId="202" fontId="2" fillId="0" borderId="2" xfId="0" applyNumberFormat="1" applyFont="1" applyFill="1" applyBorder="1" applyAlignment="1">
      <x:alignment vertical="center"/>
    </x:xf>
    <x:xf numFmtId="201" fontId="2" fillId="0" borderId="7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9" fillId="9" borderId="0" xfId="0" applyNumberFormat="1" applyFont="1" applyFill="1" applyBorder="1" applyAlignment="1">
      <x:alignment vertical="center" wrapText="1"/>
    </x:xf>
    <x:xf numFmtId="203" fontId="2" fillId="0" borderId="7" xfId="0" applyNumberFormat="1" applyFont="1" applyFill="1" applyBorder="1" applyAlignment="1">
      <x:alignment vertical="center"/>
    </x:xf>
    <x:xf numFmtId="203" fontId="2" fillId="0" borderId="2" xfId="0" applyNumberFormat="1" applyFont="1" applyFill="1" applyBorder="1" applyAlignment="1">
      <x:alignment vertical="center"/>
    </x:xf>
    <x:xf numFmtId="0" fontId="10" fillId="2" borderId="0" xfId="0" applyNumberFormat="1" applyFont="1" applyFill="1" applyBorder="1" applyAlignment="1">
      <x:alignment horizontal="left" vertical="center"/>
    </x:xf>
    <x:xf numFmtId="0" fontId="11" fillId="0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/>
    </x:xf>
    <x:xf numFmtId="200" fontId="13" fillId="6" borderId="1" xfId="0" applyNumberFormat="1" applyFont="1" applyFill="1" applyBorder="1" applyAlignment="1">
      <x:alignment horizontal="center"/>
    </x:xf>
    <x:xf numFmtId="200" fontId="13" fillId="6" borderId="2" xfId="0" applyNumberFormat="1" applyFont="1" applyFill="1" applyBorder="1" applyAlignment="1">
      <x:alignment horizontal="center"/>
    </x:xf>
    <x:xf numFmtId="201" fontId="13" fillId="6" borderId="3" xfId="0" applyNumberFormat="1" applyFont="1" applyFill="1" applyBorder="1" applyAlignment="1">
      <x:alignment horizontal="center"/>
    </x:xf>
    <x:xf numFmtId="0" fontId="2" fillId="8" borderId="0" xfId="0" applyNumberFormat="1" applyFont="1" applyFill="1" applyBorder="1" applyAlignment="1">
      <x:alignment vertical="center" wrapText="1"/>
    </x:xf>
    <x:xf numFmtId="0" fontId="14" fillId="9" borderId="0" xfId="0" applyNumberFormat="1" applyFont="1" applyFill="1" applyBorder="1" applyAlignment="1">
      <x:alignment vertical="center" wrapText="1"/>
    </x:xf>
    <x:xf numFmtId="204" fontId="2" fillId="0" borderId="7" xfId="0" applyNumberFormat="1" applyFont="1" applyFill="1" applyBorder="1" applyAlignment="1">
      <x:alignment vertical="center"/>
    </x:xf>
    <x:xf numFmtId="204" fontId="2" fillId="0" borderId="2" xfId="0" applyNumberFormat="1" applyFont="1" applyFill="1" applyBorder="1" applyAlignment="1">
      <x:alignment vertical="center"/>
    </x:xf>
    <x:xf numFmtId="200" fontId="2" fillId="0" borderId="7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d9c624036c4a79" /><Relationship Type="http://schemas.openxmlformats.org/officeDocument/2006/relationships/theme" Target="/xl/theme/theme1.xml" Id="R9d66bca45e4e4a36" /><Relationship Type="http://schemas.openxmlformats.org/officeDocument/2006/relationships/sharedStrings" Target="/xl/sharedStrings.xml" Id="R256e58be6d42445c" /><Relationship Type="http://schemas.openxmlformats.org/officeDocument/2006/relationships/worksheet" Target="/xl/worksheets/sheet1.xml" Id="R576a51b816e14095" /><Relationship Type="http://schemas.openxmlformats.org/officeDocument/2006/relationships/worksheet" Target="/xl/worksheets/sheet2.xml" Id="R884c3809cc344cdb" /><Relationship Type="http://schemas.openxmlformats.org/officeDocument/2006/relationships/worksheet" Target="/xl/worksheets/sheet3.xml" Id="R51d9c4eb74c346b5" /><Relationship Type="http://schemas.openxmlformats.org/officeDocument/2006/relationships/worksheet" Target="/xl/worksheets/sheet4.xml" Id="R608394a833af4108" /><Relationship Type="http://schemas.openxmlformats.org/officeDocument/2006/relationships/worksheet" Target="/xl/worksheets/sheet5.xml" Id="R1059092849444cb6" /><Relationship Type="http://schemas.openxmlformats.org/officeDocument/2006/relationships/worksheet" Target="/xl/worksheets/sheet6.xml" Id="R0da29a337dc6426b" /><Relationship Type="http://schemas.openxmlformats.org/officeDocument/2006/relationships/worksheet" Target="/xl/worksheets/sheet7.xml" Id="Rba0dc00fee2b44eb" /><Relationship Type="http://schemas.openxmlformats.org/officeDocument/2006/relationships/worksheet" Target="/xl/worksheets/sheet8.xml" Id="R35f5fbf75d624cb4" /><Relationship Type="http://schemas.openxmlformats.org/officeDocument/2006/relationships/worksheet" Target="/xl/worksheets/sheet9.xml" Id="Rc16d24d4356f4d6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21a445fda9146c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TabPFN relative improvement on sealed test set (%)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TabPFN relative improvement (%)</c:v>
          </c:tx>
          <c:cat>
            <c:strRef>
              <c:f>'Summary'!$A$27:$A$35</c:f>
              <c:strCache>
                <c:ptCount val="0"/>
              </c:strCache>
            </c:strRef>
          </c:cat>
          <c:val>
            <c:numRef>
              <c:f>'Summary'!$B$27:$B$35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2</xdr:row>
      <xdr:rowOff>0</xdr:rowOff>
    </xdr:from>
    <xdr:to>
      <xdr:col>22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21a445fda9146c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estComparisonTable" displayName="TestComparisonTable" ref="A2:J11" headerRowCount="1" totalsRowCount="0" totalsRowShown="0">
  <x:tableColumns count="10">
    <x:tableColumn id="1" name="Outcome"/>
    <x:tableColumn id="2" name="Metric"/>
    <x:tableColumn id="3" name="Better"/>
    <x:tableColumn id="4" name="Current model"/>
    <x:tableColumn id="5" name="Current value"/>
    <x:tableColumn id="6" name="TabPFN model"/>
    <x:tableColumn id="7" name="TabPFN value"/>
    <x:tableColumn id="8" name="Delta (Tab-current)"/>
    <x:tableColumn id="9" name="Relative improvement"/>
    <x:tableColumn id="10" name="Winn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VComparisonTable" displayName="CVComparisonTable" ref="A2:K10" headerRowCount="1" totalsRowCount="0" totalsRowShown="0">
  <x:tableColumns count="11">
    <x:tableColumn id="1" name="Outcome"/>
    <x:tableColumn id="2" name="Metric"/>
    <x:tableColumn id="3" name="Better"/>
    <x:tableColumn id="4" name="Current model"/>
    <x:tableColumn id="5" name="Current mean"/>
    <x:tableColumn id="6" name="Current SD"/>
    <x:tableColumn id="7" name="TabPFN model"/>
    <x:tableColumn id="8" name="TabPFN mean"/>
    <x:tableColumn id="9" name="TabPFN SD"/>
    <x:tableColumn id="10" name="TabPFN improvement"/>
    <x:tableColumn id="11" name="Winner by mea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VFoldsTable" displayName="CVFoldsTable" ref="A2:O12" headerRowCount="1" totalsRowCount="0" totalsRowShown="0">
  <x:autoFilter ref="A2:O12"/>
  <x:tableColumns count="15">
    <x:tableColumn id="1" name="Outcome"/>
    <x:tableColumn id="2" name="Fold"/>
    <x:tableColumn id="3" name="MAE"/>
    <x:tableColumn id="4" name="RMSE"/>
    <x:tableColumn id="5" name="R2"/>
    <x:tableColumn id="6" name="ROC-AUC"/>
    <x:tableColumn id="7" name="PR-AUC"/>
    <x:tableColumn id="8" name="F1"/>
    <x:tableColumn id="9" name="Balanced accuracy"/>
    <x:tableColumn id="10" name="Brier"/>
    <x:tableColumn id="11" name="Log loss"/>
    <x:tableColumn id="12" name="Fit seconds"/>
    <x:tableColumn id="13" name="Predict seconds"/>
    <x:tableColumn id="14" name="Validation rows"/>
    <x:tableColumn id="15" name="Validation group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ootstrapTable" displayName="BootstrapTable" ref="A3:L12" headerRowCount="1" totalsRowCount="0" totalsRowShown="0">
  <x:autoFilter ref="A3:L12"/>
  <x:tableColumns count="12">
    <x:tableColumn id="1" name="Outcome"/>
    <x:tableColumn id="2" name="Metric"/>
    <x:tableColumn id="3" name="Better"/>
    <x:tableColumn id="4" name="Current"/>
    <x:tableColumn id="5" name="TabPFN"/>
    <x:tableColumn id="6" name="TabPFN improvement"/>
    <x:tableColumn id="7" name="CI 2.5%"/>
    <x:tableColumn id="8" name="CI 97.5%"/>
    <x:tableColumn id="9" name="P(TabPFN better)"/>
    <x:tableColumn id="10" name="Valid repeats"/>
    <x:tableColumn id="11" name="Resampling unit"/>
    <x:tableColumn id="12" name="Conclus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eatureImportanceTable" displayName="FeatureImportanceTable" ref="A3:F61" headerRowCount="1" totalsRowCount="0" totalsRowShown="0">
  <x:autoFilter ref="A3:F61"/>
  <x:tableColumns count="6">
    <x:tableColumn id="1" name="Outcome"/>
    <x:tableColumn id="2" name="Feature"/>
    <x:tableColumn id="3" name="Importance mean"/>
    <x:tableColumn id="4" name="Importance SD"/>
    <x:tableColumn id="5" name="Repeats"/>
    <x:tableColumn id="6" name="Defini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edictionsTable" displayName="PredictionsTable" ref="A2:I376" headerRowCount="1" totalsRowCount="0" totalsRowShown="0">
  <x:autoFilter ref="A2:I376"/>
  <x:tableColumns count="9">
    <x:tableColumn id="1" name="IDC row ID"/>
    <x:tableColumn id="2" name="Study group"/>
    <x:tableColumn id="3" name="Molecule"/>
    <x:tableColumn id="4" name="ADA frequency actual (%)"/>
    <x:tableColumn id="5" name="TabPFN regression raw (%)"/>
    <x:tableColumn id="6" name="TabPFN regression clipped (%)"/>
    <x:tableColumn id="7" name="ADA &gt;=10% actual"/>
    <x:tableColumn id="8" name="TabPFN probability"/>
    <x:tableColumn id="9" name="TabPFN class at 0.5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etadataTable" displayName="MetadataTable" ref="A3:B32" headerRowCount="1" totalsRowCount="0" totalsRowShown="0">
  <x:tableColumns count="2">
    <x:tableColumn id="1" name="Metadata field"/>
    <x:tableColumn id="2" name="Valu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untimeTable" displayName="RuntimeTable" ref="A35:C39" headerRowCount="1" totalsRowCount="0" totalsRowShown="0">
  <x:tableColumns count="3">
    <x:tableColumn id="1" name="Outcome"/>
    <x:tableColumn id="2" name="Phase"/>
    <x:tableColumn id="3" name="Second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ethodsTable" displayName="MethodsTable" ref="A3:B16" headerRowCount="1" totalsRowCount="0" totalsRowShown="0">
  <x:tableColumns count="2">
    <x:tableColumn id="1" name="Topic"/>
    <x:tableColumn id="2" name="Audit note /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40ac5316ac64f6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2f7fb66e514e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af096c0070946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ac2f691b6494b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874006b236b4ac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bb1b730063d404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7213cb1c826442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8bac7d7f449434b" /><Relationship Type="http://schemas.openxmlformats.org/officeDocument/2006/relationships/table" Target="/xl/tables/table8.xml" Id="Rf76e20429a1b488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6a02dd8dcfb4b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2" customHeight="1">
      <x:c r="A1" s="64" t="str">
        <x:v>IDC TabPFN-3 Performance Comparison</x:v>
      </x:c>
      <x:c r="B1" s="64" t="str">
        <x:v>IDC TabPFN-3 Performance Comparison</x:v>
      </x:c>
      <x:c r="C1" s="64" t="str">
        <x:v>IDC TabPFN-3 Performance Comparison</x:v>
      </x:c>
      <x:c r="D1" s="64" t="str">
        <x:v>IDC TabPFN-3 Performance Comparison</x:v>
      </x:c>
      <x:c r="E1" s="64" t="str">
        <x:v>IDC TabPFN-3 Performance Comparison</x:v>
      </x:c>
      <x:c r="F1" s="64" t="str">
        <x:v>IDC TabPFN-3 Performance Comparison</x:v>
      </x:c>
      <x:c r="G1" s="64" t="str">
        <x:v>IDC TabPFN-3 Performance Comparison</x:v>
      </x:c>
      <x:c r="H1" s="64" t="str">
        <x:v>IDC TabPFN-3 Performance Comparison</x:v>
      </x:c>
      <x:c r="I1" s="64" t="str">
        <x:v>IDC TabPFN-3 Performance Comparison</x:v>
      </x:c>
      <x:c r="J1" s="64" t="str">
        <x:v>IDC TabPFN-3 Performance Comparison</x:v>
      </x:c>
      <x:c r="K1" s="64" t="str">
        <x:v>IDC TabPFN-3 Performance Comparison</x:v>
      </x:c>
      <x:c r="L1" s="64" t="str">
        <x:v>IDC TabPFN-3 Performance Comparison</x:v>
      </x:c>
      <x:c r="M1" s="65"/>
      <x:c r="N1" s="65"/>
      <x:c r="O1" s="65"/>
      <x:c r="P1" s="65"/>
      <x:c r="Q1" s="65"/>
      <x:c r="R1" s="65"/>
      <x:c r="S1" s="65"/>
      <x:c r="T1" s="65"/>
      <x:c r="U1" s="65"/>
      <x:c r="V1" s="65"/>
    </x:row>
    <x:row r="2" ht="28" customHeight="1">
      <x:c r="A2" s="8" t="str">
        <x:v>Same 29 features, same study-group partition, and the same sealed 374-row test set. Positive relative improvement means TabPFN performs better.</x:v>
      </x:c>
      <x:c r="B2" s="8" t="str">
        <x:v>Same 29 features, same study-group partition, and the same sealed 374-row test set. Positive relative improvement means TabPFN performs better.</x:v>
      </x:c>
      <x:c r="C2" s="8" t="str">
        <x:v>Same 29 features, same study-group partition, and the same sealed 374-row test set. Positive relative improvement means TabPFN performs better.</x:v>
      </x:c>
      <x:c r="D2" s="8" t="str">
        <x:v>Same 29 features, same study-group partition, and the same sealed 374-row test set. Positive relative improvement means TabPFN performs better.</x:v>
      </x:c>
      <x:c r="E2" s="8" t="str">
        <x:v>Same 29 features, same study-group partition, and the same sealed 374-row test set. Positive relative improvement means TabPFN performs better.</x:v>
      </x:c>
      <x:c r="F2" s="8" t="str">
        <x:v>Same 29 features, same study-group partition, and the same sealed 374-row test set. Positive relative improvement means TabPFN performs better.</x:v>
      </x:c>
      <x:c r="G2" s="8" t="str">
        <x:v>Same 29 features, same study-group partition, and the same sealed 374-row test set. Positive relative improvement means TabPFN performs better.</x:v>
      </x:c>
      <x:c r="H2" s="8" t="str">
        <x:v>Same 29 features, same study-group partition, and the same sealed 374-row test set. Positive relative improvement means TabPFN performs better.</x:v>
      </x:c>
      <x:c r="I2" s="8" t="str">
        <x:v>Same 29 features, same study-group partition, and the same sealed 374-row test set. Positive relative improvement means TabPFN performs better.</x:v>
      </x:c>
      <x:c r="J2" s="8" t="str">
        <x:v>Same 29 features, same study-group partition, and the same sealed 374-row test set. Positive relative improvement means TabPFN performs better.</x:v>
      </x:c>
      <x:c r="K2" s="8" t="str">
        <x:v>Same 29 features, same study-group partition, and the same sealed 374-row test set. Positive relative improvement means TabPFN performs better.</x:v>
      </x:c>
      <x:c r="L2" s="8" t="str">
        <x:v>Same 29 features, same study-group partition, and the same sealed 374-row test set. Positive relative improvement means TabPFN performs better.</x:v>
      </x:c>
      <x:c r="M2" s="65"/>
      <x:c r="N2" s="65"/>
      <x:c r="O2" s="65"/>
      <x:c r="P2" s="65"/>
      <x:c r="Q2" s="65"/>
      <x:c r="R2" s="65"/>
      <x:c r="S2" s="65"/>
      <x:c r="T2" s="65"/>
      <x:c r="U2" s="65"/>
      <x:c r="V2" s="65"/>
    </x:row>
    <x:row r="3">
      <x:c r="A3" s="12" t="str">
        <x:v>Continuous MAE (pp)</x:v>
      </x:c>
      <x:c r="B3" s="12" t="str">
        <x:v>Continuous MAE (pp)</x:v>
      </x:c>
      <x:c r="C3" s="12" t="str">
        <x:v>Continuous MAE (pp)</x:v>
      </x:c>
      <x:c r="D3" s="29" t="str">
        <x:v>Continuous R²</x:v>
      </x:c>
      <x:c r="E3" s="29" t="str">
        <x:v>Continuous R²</x:v>
      </x:c>
      <x:c r="F3" s="29" t="str">
        <x:v>Continuous R²</x:v>
      </x:c>
      <x:c r="G3" s="12" t="str">
        <x:v>Binary ROC-AUC</x:v>
      </x:c>
      <x:c r="H3" s="12" t="str">
        <x:v>Binary ROC-AUC</x:v>
      </x:c>
      <x:c r="I3" s="12" t="str">
        <x:v>Binary ROC-AUC</x:v>
      </x:c>
      <x:c r="J3" s="29" t="str">
        <x:v>Binary Brier</x:v>
      </x:c>
      <x:c r="K3" s="29" t="str">
        <x:v>Binary Brier</x:v>
      </x:c>
      <x:c r="L3" s="29" t="str">
        <x:v>Binary Brier</x:v>
      </x:c>
      <x:c r="M3" s="65"/>
      <x:c r="N3" s="65"/>
      <x:c r="O3" s="65"/>
      <x:c r="P3" s="65"/>
      <x:c r="Q3" s="65"/>
      <x:c r="R3" s="65"/>
      <x:c r="S3" s="65"/>
      <x:c r="T3" s="65"/>
      <x:c r="U3" s="65"/>
      <x:c r="V3" s="65"/>
    </x:row>
    <x:row r="4">
      <x:c r="A4" s="66" t="str">
        <x:v>Current RF</x:v>
      </x:c>
      <x:c r="B4" s="66" t="str">
        <x:v>TabPFN-3</x:v>
      </x:c>
      <x:c r="C4" s="66" t="str">
        <x:v>Relative gain</x:v>
      </x:c>
      <x:c r="D4" s="66" t="str">
        <x:v>Current RF</x:v>
      </x:c>
      <x:c r="E4" s="66" t="str">
        <x:v>TabPFN-3</x:v>
      </x:c>
      <x:c r="F4" s="66" t="str">
        <x:v>Relative gain</x:v>
      </x:c>
      <x:c r="G4" s="66" t="str">
        <x:v>Current RF</x:v>
      </x:c>
      <x:c r="H4" s="66" t="str">
        <x:v>TabPFN-3</x:v>
      </x:c>
      <x:c r="I4" s="66" t="str">
        <x:v>Relative gain</x:v>
      </x:c>
      <x:c r="J4" s="66" t="str">
        <x:v>Current RF</x:v>
      </x:c>
      <x:c r="K4" s="66" t="str">
        <x:v>TabPFN-3</x:v>
      </x:c>
      <x:c r="L4" s="66" t="str">
        <x:v>Relative gain</x:v>
      </x:c>
      <x:c r="M4" s="65"/>
      <x:c r="N4" s="65"/>
      <x:c r="O4" s="65"/>
      <x:c r="P4" s="65"/>
      <x:c r="Q4" s="65"/>
      <x:c r="R4" s="65"/>
      <x:c r="S4" s="65"/>
      <x:c r="T4" s="65"/>
      <x:c r="U4" s="65"/>
      <x:c r="V4" s="65"/>
    </x:row>
    <x:row r="5">
      <x:c r="A5" s="67" t="n">
        <x:f>'Test_Comparison'!E3</x:f>
        <x:v>10.584620008783013</x:v>
      </x:c>
      <x:c r="B5" s="68" t="n">
        <x:f>'Test_Comparison'!G3</x:f>
        <x:v>7.600577785225056</x:v>
      </x:c>
      <x:c r="C5" s="69" t="n">
        <x:f>'Test_Comparison'!I3</x:f>
        <x:v>0.28192247063020004</x:v>
      </x:c>
      <x:c r="D5" s="67" t="n">
        <x:f>'Test_Comparison'!E5</x:f>
        <x:v>0.4612864056583219</x:v>
      </x:c>
      <x:c r="E5" s="68" t="n">
        <x:f>'Test_Comparison'!G5</x:f>
        <x:v>0.6165722652876571</x:v>
      </x:c>
      <x:c r="F5" s="69" t="n">
        <x:f>'Test_Comparison'!I5</x:f>
        <x:v>0.3366365401723035</x:v>
      </x:c>
      <x:c r="G5" s="67" t="n">
        <x:f>'Test_Comparison'!E6</x:f>
        <x:v>0.8551323162634016</x:v>
      </x:c>
      <x:c r="H5" s="68" t="n">
        <x:f>'Test_Comparison'!G6</x:f>
        <x:v>0.8871343892721795</x:v>
      </x:c>
      <x:c r="I5" s="69" t="n">
        <x:f>'Test_Comparison'!I6</x:f>
        <x:v>0.03742353364519611</x:v>
      </x:c>
      <x:c r="J5" s="67" t="n">
        <x:f>'Test_Comparison'!E10</x:f>
        <x:v>0.1586561999273386</x:v>
      </x:c>
      <x:c r="K5" s="68" t="n">
        <x:f>'Test_Comparison'!G10</x:f>
        <x:v>0.1281631061083232</x:v>
      </x:c>
      <x:c r="L5" s="69" t="n">
        <x:f>'Test_Comparison'!I10</x:f>
        <x:v>0.1921960429720403</x:v>
      </x:c>
      <x:c r="M5" s="65"/>
      <x:c r="N5" s="65"/>
      <x:c r="O5" s="65"/>
      <x:c r="P5" s="65"/>
      <x:c r="Q5" s="65"/>
      <x:c r="R5" s="65"/>
      <x:c r="S5" s="65"/>
      <x:c r="T5" s="65"/>
      <x:c r="U5" s="65"/>
      <x:c r="V5" s="65"/>
    </x:row>
    <x:row r="6">
      <x:c r="A6" s="65"/>
      <x:c r="B6" s="65"/>
      <x:c r="C6" s="65"/>
      <x:c r="D6" s="65"/>
      <x:c r="E6" s="65"/>
      <x:c r="F6" s="65"/>
      <x:c r="G6" s="65"/>
      <x:c r="H6" s="65"/>
      <x:c r="I6" s="65"/>
      <x:c r="J6" s="65"/>
      <x:c r="K6" s="65"/>
      <x:c r="L6" s="65"/>
      <x:c r="M6" s="65"/>
      <x:c r="N6" s="65"/>
      <x:c r="O6" s="65"/>
      <x:c r="P6" s="65"/>
      <x:c r="Q6" s="65"/>
      <x:c r="R6" s="65"/>
      <x:c r="S6" s="65"/>
      <x:c r="T6" s="65"/>
      <x:c r="U6" s="65"/>
      <x:c r="V6" s="65"/>
    </x:row>
    <x:row r="7" ht="30" customHeight="1">
      <x:c r="A7" s="41" t="str">
        <x:v>Metric</x:v>
      </x:c>
      <x:c r="B7" s="42" t="str">
        <x:v>Current RF</x:v>
      </x:c>
      <x:c r="C7" s="42" t="str">
        <x:v>TabPFN-3</x:v>
      </x:c>
      <x:c r="D7" s="42" t="str">
        <x:v>Relative improvement</x:v>
      </x:c>
      <x:c r="E7" s="43" t="str">
        <x:v>Winner</x:v>
      </x:c>
      <x:c r="F7" s="65"/>
      <x:c r="G7" s="65"/>
      <x:c r="H7" s="65"/>
      <x:c r="I7" s="65"/>
      <x:c r="J7" s="65"/>
      <x:c r="K7" s="65"/>
      <x:c r="L7" s="65"/>
      <x:c r="M7" s="65"/>
      <x:c r="N7" s="65"/>
      <x:c r="O7" s="65"/>
      <x:c r="P7" s="65"/>
      <x:c r="Q7" s="65"/>
      <x:c r="R7" s="65"/>
      <x:c r="S7" s="65"/>
      <x:c r="T7" s="65"/>
      <x:c r="U7" s="65"/>
      <x:c r="V7" s="65"/>
    </x:row>
    <x:row r="8">
      <x:c r="A8" s="47" t="str">
        <x:f>'Test_Comparison'!B3</x:f>
        <x:v>MAE</x:v>
      </x:c>
      <x:c r="B8" s="49" t="n">
        <x:f>'Test_Comparison'!E3</x:f>
        <x:v>10.584620008783013</x:v>
      </x:c>
      <x:c r="C8" s="49" t="n">
        <x:f>'Test_Comparison'!G3</x:f>
        <x:v>7.600577785225056</x:v>
      </x:c>
      <x:c r="D8" s="51" t="n">
        <x:f>'Test_Comparison'!I3</x:f>
        <x:v>0.28192247063020004</x:v>
      </x:c>
      <x:c r="E8" s="47" t="str">
        <x:f>'Test_Comparison'!J3</x:f>
        <x:v>TabPFN-3</x:v>
      </x:c>
      <x:c r="F8" s="65"/>
      <x:c r="G8" s="65"/>
      <x:c r="H8" s="65"/>
      <x:c r="I8" s="65"/>
      <x:c r="J8" s="65"/>
      <x:c r="K8" s="65"/>
      <x:c r="L8" s="65"/>
      <x:c r="M8" s="65"/>
      <x:c r="N8" s="65"/>
      <x:c r="O8" s="65"/>
      <x:c r="P8" s="65"/>
      <x:c r="Q8" s="65"/>
      <x:c r="R8" s="65"/>
      <x:c r="S8" s="65"/>
      <x:c r="T8" s="65"/>
      <x:c r="U8" s="65"/>
      <x:c r="V8" s="65"/>
    </x:row>
    <x:row r="9">
      <x:c r="A9" s="48" t="str">
        <x:f>'Test_Comparison'!B4</x:f>
        <x:v>RMSE</x:v>
      </x:c>
      <x:c r="B9" s="50" t="n">
        <x:f>'Test_Comparison'!E4</x:f>
        <x:v>15.142227305900116</x:v>
      </x:c>
      <x:c r="C9" s="50" t="n">
        <x:f>'Test_Comparison'!G4</x:f>
        <x:v>12.77475428930252</x:v>
      </x:c>
      <x:c r="D9" s="52" t="n">
        <x:f>'Test_Comparison'!I4</x:f>
        <x:v>0.1563490607273554</x:v>
      </x:c>
      <x:c r="E9" s="48" t="str">
        <x:f>'Test_Comparison'!J4</x:f>
        <x:v>TabPFN-3</x:v>
      </x:c>
      <x:c r="F9" s="65"/>
      <x:c r="G9" s="65"/>
      <x:c r="H9" s="65"/>
      <x:c r="I9" s="65"/>
      <x:c r="J9" s="65"/>
      <x:c r="K9" s="65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</x:row>
    <x:row r="10">
      <x:c r="A10" s="48" t="str">
        <x:f>'Test_Comparison'!B5</x:f>
        <x:v>R2</x:v>
      </x:c>
      <x:c r="B10" s="50" t="n">
        <x:f>'Test_Comparison'!E5</x:f>
        <x:v>0.4612864056583219</x:v>
      </x:c>
      <x:c r="C10" s="50" t="n">
        <x:f>'Test_Comparison'!G5</x:f>
        <x:v>0.6165722652876571</x:v>
      </x:c>
      <x:c r="D10" s="52" t="n">
        <x:f>'Test_Comparison'!I5</x:f>
        <x:v>0.3366365401723035</x:v>
      </x:c>
      <x:c r="E10" s="48" t="str">
        <x:f>'Test_Comparison'!J5</x:f>
        <x:v>TabPFN-3</x:v>
      </x:c>
      <x:c r="F10" s="65"/>
      <x:c r="G10" s="65"/>
      <x:c r="H10" s="65"/>
      <x:c r="I10" s="65"/>
      <x:c r="J10" s="65"/>
      <x:c r="K10" s="65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</x:row>
    <x:row r="11">
      <x:c r="A11" s="48" t="str">
        <x:f>'Test_Comparison'!B6</x:f>
        <x:v>ROC_AUC</x:v>
      </x:c>
      <x:c r="B11" s="50" t="n">
        <x:f>'Test_Comparison'!E6</x:f>
        <x:v>0.8551323162634016</x:v>
      </x:c>
      <x:c r="C11" s="50" t="n">
        <x:f>'Test_Comparison'!G6</x:f>
        <x:v>0.8871343892721795</x:v>
      </x:c>
      <x:c r="D11" s="52" t="n">
        <x:f>'Test_Comparison'!I6</x:f>
        <x:v>0.03742353364519611</x:v>
      </x:c>
      <x:c r="E11" s="48" t="str">
        <x:f>'Test_Comparison'!J6</x:f>
        <x:v>TabPFN-3</x:v>
      </x:c>
      <x:c r="F11" s="65"/>
      <x:c r="G11" s="65"/>
      <x:c r="H11" s="65"/>
      <x:c r="I11" s="65"/>
      <x:c r="J11" s="65"/>
      <x:c r="K11" s="65"/>
      <x:c r="L11" s="65"/>
      <x:c r="M11" s="65"/>
      <x:c r="N11" s="65"/>
      <x:c r="O11" s="65"/>
      <x:c r="P11" s="65"/>
      <x:c r="Q11" s="65"/>
      <x:c r="R11" s="65"/>
      <x:c r="S11" s="65"/>
      <x:c r="T11" s="65"/>
      <x:c r="U11" s="65"/>
      <x:c r="V11" s="65"/>
    </x:row>
    <x:row r="12">
      <x:c r="A12" s="48" t="str">
        <x:f>'Test_Comparison'!B7</x:f>
        <x:v>PR_AUC</x:v>
      </x:c>
      <x:c r="B12" s="50" t="n">
        <x:f>'Test_Comparison'!E7</x:f>
        <x:v>0.767987874672056</x:v>
      </x:c>
      <x:c r="C12" s="50" t="n">
        <x:f>'Test_Comparison'!G7</x:f>
        <x:v>0.7902824826403023</x:v>
      </x:c>
      <x:c r="D12" s="52" t="n">
        <x:f>'Test_Comparison'!I7</x:f>
        <x:v>0.029029895788089777</x:v>
      </x:c>
      <x:c r="E12" s="48" t="str">
        <x:f>'Test_Comparison'!J7</x:f>
        <x:v>TabPFN-3</x:v>
      </x:c>
      <x:c r="F12" s="65"/>
      <x:c r="G12" s="65"/>
      <x:c r="H12" s="65"/>
      <x:c r="I12" s="65"/>
      <x:c r="J12" s="65"/>
      <x:c r="K12" s="65"/>
      <x:c r="L12" s="65"/>
      <x:c r="M12" s="65"/>
      <x:c r="N12" s="65"/>
      <x:c r="O12" s="65"/>
      <x:c r="P12" s="65"/>
      <x:c r="Q12" s="65"/>
      <x:c r="R12" s="65"/>
      <x:c r="S12" s="65"/>
      <x:c r="T12" s="65"/>
      <x:c r="U12" s="65"/>
      <x:c r="V12" s="65"/>
    </x:row>
    <x:row r="13">
      <x:c r="A13" s="48" t="str">
        <x:f>'Test_Comparison'!B8</x:f>
        <x:v>F1</x:v>
      </x:c>
      <x:c r="B13" s="50" t="n">
        <x:f>'Test_Comparison'!E8</x:f>
        <x:v>0.7012987012987013</x:v>
      </x:c>
      <x:c r="C13" s="50" t="n">
        <x:f>'Test_Comparison'!G8</x:f>
        <x:v>0.6728110599078341</x:v>
      </x:c>
      <x:c r="D13" s="52" t="n">
        <x:f>'Test_Comparison'!I8</x:f>
        <x:v>-0.04062126642771809</x:v>
      </x:c>
      <x:c r="E13" s="48" t="str">
        <x:f>'Test_Comparison'!J8</x:f>
        <x:v>Random forest</x:v>
      </x:c>
      <x:c r="F13" s="65"/>
      <x:c r="G13" s="65"/>
      <x:c r="H13" s="65"/>
      <x:c r="I13" s="65"/>
      <x:c r="J13" s="65"/>
      <x:c r="K13" s="65"/>
      <x:c r="L13" s="65"/>
      <x:c r="M13" s="65"/>
      <x:c r="N13" s="65"/>
      <x:c r="O13" s="65"/>
      <x:c r="P13" s="65"/>
      <x:c r="Q13" s="65"/>
      <x:c r="R13" s="65"/>
      <x:c r="S13" s="65"/>
      <x:c r="T13" s="65"/>
      <x:c r="U13" s="65"/>
      <x:c r="V13" s="65"/>
    </x:row>
    <x:row r="14">
      <x:c r="A14" s="48" t="str">
        <x:f>'Test_Comparison'!B9</x:f>
        <x:v>Balanced_Accuracy</x:v>
      </x:c>
      <x:c r="B14" s="50" t="n">
        <x:f>'Test_Comparison'!E9</x:f>
        <x:v>0.7754834321251579</x:v>
      </x:c>
      <x:c r="C14" s="50" t="n">
        <x:f>'Test_Comparison'!G9</x:f>
        <x:v>0.7549152981569656</x:v>
      </x:c>
      <x:c r="D14" s="52" t="n">
        <x:f>'Test_Comparison'!I9</x:f>
        <x:v>-0.026522983104651017</x:v>
      </x:c>
      <x:c r="E14" s="48" t="str">
        <x:f>'Test_Comparison'!J9</x:f>
        <x:v>Random forest</x:v>
      </x:c>
      <x:c r="F14" s="65"/>
      <x:c r="G14" s="65"/>
      <x:c r="H14" s="65"/>
      <x:c r="I14" s="65"/>
      <x:c r="J14" s="65"/>
      <x:c r="K14" s="65"/>
      <x:c r="L14" s="65"/>
      <x:c r="M14" s="65"/>
      <x:c r="N14" s="65"/>
      <x:c r="O14" s="65"/>
      <x:c r="P14" s="65"/>
      <x:c r="Q14" s="65"/>
      <x:c r="R14" s="65"/>
      <x:c r="S14" s="65"/>
      <x:c r="T14" s="65"/>
      <x:c r="U14" s="65"/>
      <x:c r="V14" s="65"/>
    </x:row>
    <x:row r="15">
      <x:c r="A15" s="48" t="str">
        <x:f>'Test_Comparison'!B10</x:f>
        <x:v>Brier</x:v>
      </x:c>
      <x:c r="B15" s="50" t="n">
        <x:f>'Test_Comparison'!E10</x:f>
        <x:v>0.1586561999273386</x:v>
      </x:c>
      <x:c r="C15" s="50" t="n">
        <x:f>'Test_Comparison'!G10</x:f>
        <x:v>0.1281631061083232</x:v>
      </x:c>
      <x:c r="D15" s="52" t="n">
        <x:f>'Test_Comparison'!I10</x:f>
        <x:v>0.1921960429720403</x:v>
      </x:c>
      <x:c r="E15" s="48" t="str">
        <x:f>'Test_Comparison'!J10</x:f>
        <x:v>TabPFN-3</x:v>
      </x:c>
      <x:c r="F15" s="65"/>
      <x:c r="G15" s="65"/>
      <x:c r="H15" s="65"/>
      <x:c r="I15" s="65"/>
      <x:c r="J15" s="65"/>
      <x:c r="K15" s="65"/>
      <x:c r="L15" s="65"/>
      <x:c r="M15" s="65"/>
      <x:c r="N15" s="65"/>
      <x:c r="O15" s="65"/>
      <x:c r="P15" s="65"/>
      <x:c r="Q15" s="65"/>
      <x:c r="R15" s="65"/>
      <x:c r="S15" s="65"/>
      <x:c r="T15" s="65"/>
      <x:c r="U15" s="65"/>
      <x:c r="V15" s="65"/>
    </x:row>
    <x:row r="16">
      <x:c r="A16" s="48" t="str">
        <x:f>'Test_Comparison'!B11</x:f>
        <x:v>Log_Loss</x:v>
      </x:c>
      <x:c r="B16" s="50" t="n">
        <x:f>'Test_Comparison'!E11</x:f>
        <x:v>0.4936284392249762</x:v>
      </x:c>
      <x:c r="C16" s="50" t="n">
        <x:f>'Test_Comparison'!G11</x:f>
        <x:v>0.4078691824732222</x:v>
      </x:c>
      <x:c r="D16" s="52" t="n">
        <x:f>'Test_Comparison'!I11</x:f>
        <x:v>0.1737324066790008</x:v>
      </x:c>
      <x:c r="E16" s="48" t="str">
        <x:f>'Test_Comparison'!J11</x:f>
        <x:v>TabPFN-3</x:v>
      </x:c>
      <x:c r="F16" s="65"/>
      <x:c r="G16" s="65"/>
      <x:c r="H16" s="65"/>
      <x:c r="I16" s="65"/>
      <x:c r="J16" s="65"/>
      <x:c r="K16" s="65"/>
      <x:c r="L16" s="65"/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</x:row>
    <x:row r="17">
      <x:c r="A17" s="65"/>
      <x:c r="B17" s="65"/>
      <x:c r="C17" s="65"/>
      <x:c r="D17" s="65"/>
      <x:c r="E17" s="65"/>
      <x:c r="F17" s="65"/>
      <x:c r="G17" s="65"/>
      <x:c r="H17" s="65"/>
      <x:c r="I17" s="65"/>
      <x:c r="J17" s="65"/>
      <x:c r="K17" s="65"/>
      <x:c r="L17" s="65"/>
      <x:c r="M17" s="65"/>
      <x:c r="N17" s="65"/>
      <x:c r="O17" s="65"/>
      <x:c r="P17" s="65"/>
      <x:c r="Q17" s="65"/>
      <x:c r="R17" s="65"/>
      <x:c r="S17" s="65"/>
      <x:c r="T17" s="65"/>
      <x:c r="U17" s="65"/>
      <x:c r="V17" s="65"/>
    </x:row>
    <x:row r="18">
      <x:c r="A18" s="65"/>
      <x:c r="B18" s="65"/>
      <x:c r="C18" s="65"/>
      <x:c r="D18" s="65"/>
      <x:c r="E18" s="65"/>
      <x:c r="F18" s="65"/>
      <x:c r="G18" s="65"/>
      <x:c r="H18" s="65"/>
      <x:c r="I18" s="65"/>
      <x:c r="J18" s="65"/>
      <x:c r="K18" s="65"/>
      <x:c r="L18" s="65"/>
      <x:c r="M18" s="65"/>
      <x:c r="N18" s="65"/>
      <x:c r="O18" s="65"/>
      <x:c r="P18" s="65"/>
      <x:c r="Q18" s="65"/>
      <x:c r="R18" s="65"/>
      <x:c r="S18" s="65"/>
      <x:c r="T18" s="65"/>
      <x:c r="U18" s="65"/>
      <x:c r="V18" s="65"/>
    </x:row>
    <x:row r="19">
      <x:c r="A19" s="31" t="str">
        <x:v>Decision guidance</x:v>
      </x:c>
      <x:c r="B19" s="31" t="str">
        <x:v>Decision guidance</x:v>
      </x:c>
      <x:c r="C19" s="31" t="str">
        <x:v>Decision guidance</x:v>
      </x:c>
      <x:c r="D19" s="31" t="str">
        <x:v>Decision guidance</x:v>
      </x:c>
      <x:c r="E19" s="31" t="str">
        <x:v>Decision guidance</x:v>
      </x:c>
      <x:c r="F19" s="31" t="str">
        <x:v>Decision guidance</x:v>
      </x:c>
      <x:c r="G19" s="31" t="str">
        <x:v>Decision guidance</x:v>
      </x:c>
      <x:c r="H19" s="31" t="str">
        <x:v>Decision guidance</x:v>
      </x:c>
      <x:c r="I19" s="31" t="str">
        <x:v>Decision guidance</x:v>
      </x:c>
      <x:c r="J19" s="31" t="str">
        <x:v>Decision guidance</x:v>
      </x:c>
      <x:c r="K19" s="31" t="str">
        <x:v>Decision guidance</x:v>
      </x:c>
      <x:c r="L19" s="31" t="str">
        <x:v>Decision guidance</x:v>
      </x:c>
      <x:c r="M19" s="65"/>
      <x:c r="N19" s="65"/>
      <x:c r="O19" s="65"/>
      <x:c r="P19" s="65"/>
      <x:c r="Q19" s="65"/>
      <x:c r="R19" s="65"/>
      <x:c r="S19" s="65"/>
      <x:c r="T19" s="65"/>
      <x:c r="U19" s="65"/>
      <x:c r="V19" s="65"/>
    </x:row>
    <x:row r="20">
      <x:c r="A20" s="70" t="str">
        <x:v>TabPFN-3 is clearly stronger for continuous ADA-frequency prediction on the sealed test set, and its Brier/log-loss calibration gains are supported by study-group bootstrap. Keep the current random forest as a benchmark because grouped cross-validation gains are inconsistent and fixed-threshold F1/balanced accuracy do not improve.</x:v>
      </x:c>
      <x:c r="B20" s="70" t="str">
        <x:v>TabPFN-3 is clearly stronger for continuous ADA-frequency prediction on the sealed test set, and its Brier/log-loss calibration gains are supported by study-group bootstrap. Keep the current random forest as a benchmark because grouped cross-validation gains are inconsistent and fixed-threshold F1/balanced accuracy do not improve.</x:v>
      </x:c>
      <x:c r="C20" s="70" t="str">
        <x:v>TabPFN-3 is clearly stronger for continuous ADA-frequency prediction on the sealed test set, and its Brier/log-loss calibration gains are supported by study-group bootstrap. Keep the current random forest as a benchmark because grouped cross-validation gains are inconsistent and fixed-threshold F1/balanced accuracy do not improve.</x:v>
      </x:c>
      <x:c r="D20" s="70" t="str">
        <x:v>TabPFN-3 is clearly stronger for continuous ADA-frequency prediction on the sealed test set, and its Brier/log-loss calibration gains are supported by study-group bootstrap. Keep the current random forest as a benchmark because grouped cross-validation gains are inconsistent and fixed-threshold F1/balanced accuracy do not improve.</x:v>
      </x:c>
      <x:c r="E20" s="70" t="str">
        <x:v>TabPFN-3 is clearly stronger for continuous ADA-frequency prediction on the sealed test set, and its Brier/log-loss calibration gains are supported by study-group bootstrap. Keep the current random forest as a benchmark because grouped cross-validation gains are inconsistent and fixed-threshold F1/balanced accuracy do not improve.</x:v>
      </x:c>
      <x:c r="F20" s="70" t="str">
        <x:v>TabPFN-3 is clearly stronger for continuous ADA-frequency prediction on the sealed test set, and its Brier/log-loss calibration gains are supported by study-group bootstrap. Keep the current random forest as a benchmark because grouped cross-validation gains are inconsistent and fixed-threshold F1/balanced accuracy do not improve.</x:v>
      </x:c>
      <x:c r="G20" s="70" t="str">
        <x:v>TabPFN-3 is clearly stronger for continuous ADA-frequency prediction on the sealed test set, and its Brier/log-loss calibration gains are supported by study-group bootstrap. Keep the current random forest as a benchmark because grouped cross-validation gains are inconsistent and fixed-threshold F1/balanced accuracy do not improve.</x:v>
      </x:c>
      <x:c r="H20" s="70" t="str">
        <x:v>TabPFN-3 is clearly stronger for continuous ADA-frequency prediction on the sealed test set, and its Brier/log-loss calibration gains are supported by study-group bootstrap. Keep the current random forest as a benchmark because grouped cross-validation gains are inconsistent and fixed-threshold F1/balanced accuracy do not improve.</x:v>
      </x:c>
      <x:c r="I20" s="70" t="str">
        <x:v>TabPFN-3 is clearly stronger for continuous ADA-frequency prediction on the sealed test set, and its Brier/log-loss calibration gains are supported by study-group bootstrap. Keep the current random forest as a benchmark because grouped cross-validation gains are inconsistent and fixed-threshold F1/balanced accuracy do not improve.</x:v>
      </x:c>
      <x:c r="J20" s="70" t="str">
        <x:v>TabPFN-3 is clearly stronger for continuous ADA-frequency prediction on the sealed test set, and its Brier/log-loss calibration gains are supported by study-group bootstrap. Keep the current random forest as a benchmark because grouped cross-validation gains are inconsistent and fixed-threshold F1/balanced accuracy do not improve.</x:v>
      </x:c>
      <x:c r="K20" s="70" t="str">
        <x:v>TabPFN-3 is clearly stronger for continuous ADA-frequency prediction on the sealed test set, and its Brier/log-loss calibration gains are supported by study-group bootstrap. Keep the current random forest as a benchmark because grouped cross-validation gains are inconsistent and fixed-threshold F1/balanced accuracy do not improve.</x:v>
      </x:c>
      <x:c r="L20" s="70" t="str">
        <x:v>TabPFN-3 is clearly stronger for continuous ADA-frequency prediction on the sealed test set, and its Brier/log-loss calibration gains are supported by study-group bootstrap. Keep the current random forest as a benchmark because grouped cross-validation gains are inconsistent and fixed-threshold F1/balanced accuracy do not improve.</x:v>
      </x:c>
      <x:c r="M20" s="65"/>
      <x:c r="N20" s="65"/>
      <x:c r="O20" s="65"/>
      <x:c r="P20" s="65"/>
      <x:c r="Q20" s="65"/>
      <x:c r="R20" s="65"/>
      <x:c r="S20" s="65"/>
      <x:c r="T20" s="65"/>
      <x:c r="U20" s="65"/>
      <x:c r="V20" s="65"/>
    </x:row>
    <x:row r="21">
      <x:c r="A21" s="70" t="str">
        <x:v>TabPFN-3 is clearly stronger for continuous ADA-frequency prediction on the sealed test set, and its Brier/log-loss calibration gains are supported by study-group bootstrap. Keep the current random forest as a benchmark because grouped cross-validation gains are inconsistent and fixed-threshold F1/balanced accuracy do not improve.</x:v>
      </x:c>
      <x:c r="B21" s="70" t="str">
        <x:v>TabPFN-3 is clearly stronger for continuous ADA-frequency prediction on the sealed test set, and its Brier/log-loss calibration gains are supported by study-group bootstrap. Keep the current random forest as a benchmark because grouped cross-validation gains are inconsistent and fixed-threshold F1/balanced accuracy do not improve.</x:v>
      </x:c>
      <x:c r="C21" s="70" t="str">
        <x:v>TabPFN-3 is clearly stronger for continuous ADA-frequency prediction on the sealed test set, and its Brier/log-loss calibration gains are supported by study-group bootstrap. Keep the current random forest as a benchmark because grouped cross-validation gains are inconsistent and fixed-threshold F1/balanced accuracy do not improve.</x:v>
      </x:c>
      <x:c r="D21" s="70" t="str">
        <x:v>TabPFN-3 is clearly stronger for continuous ADA-frequency prediction on the sealed test set, and its Brier/log-loss calibration gains are supported by study-group bootstrap. Keep the current random forest as a benchmark because grouped cross-validation gains are inconsistent and fixed-threshold F1/balanced accuracy do not improve.</x:v>
      </x:c>
      <x:c r="E21" s="70" t="str">
        <x:v>TabPFN-3 is clearly stronger for continuous ADA-frequency prediction on the sealed test set, and its Brier/log-loss calibration gains are supported by study-group bootstrap. Keep the current random forest as a benchmark because grouped cross-validation gains are inconsistent and fixed-threshold F1/balanced accuracy do not improve.</x:v>
      </x:c>
      <x:c r="F21" s="70" t="str">
        <x:v>TabPFN-3 is clearly stronger for continuous ADA-frequency prediction on the sealed test set, and its Brier/log-loss calibration gains are supported by study-group bootstrap. Keep the current random forest as a benchmark because grouped cross-validation gains are inconsistent and fixed-threshold F1/balanced accuracy do not improve.</x:v>
      </x:c>
      <x:c r="G21" s="70" t="str">
        <x:v>TabPFN-3 is clearly stronger for continuous ADA-frequency prediction on the sealed test set, and its Brier/log-loss calibration gains are supported by study-group bootstrap. Keep the current random forest as a benchmark because grouped cross-validation gains are inconsistent and fixed-threshold F1/balanced accuracy do not improve.</x:v>
      </x:c>
      <x:c r="H21" s="70" t="str">
        <x:v>TabPFN-3 is clearly stronger for continuous ADA-frequency prediction on the sealed test set, and its Brier/log-loss calibration gains are supported by study-group bootstrap. Keep the current random forest as a benchmark because grouped cross-validation gains are inconsistent and fixed-threshold F1/balanced accuracy do not improve.</x:v>
      </x:c>
      <x:c r="I21" s="70" t="str">
        <x:v>TabPFN-3 is clearly stronger for continuous ADA-frequency prediction on the sealed test set, and its Brier/log-loss calibration gains are supported by study-group bootstrap. Keep the current random forest as a benchmark because grouped cross-validation gains are inconsistent and fixed-threshold F1/balanced accuracy do not improve.</x:v>
      </x:c>
      <x:c r="J21" s="70" t="str">
        <x:v>TabPFN-3 is clearly stronger for continuous ADA-frequency prediction on the sealed test set, and its Brier/log-loss calibration gains are supported by study-group bootstrap. Keep the current random forest as a benchmark because grouped cross-validation gains are inconsistent and fixed-threshold F1/balanced accuracy do not improve.</x:v>
      </x:c>
      <x:c r="K21" s="70" t="str">
        <x:v>TabPFN-3 is clearly stronger for continuous ADA-frequency prediction on the sealed test set, and its Brier/log-loss calibration gains are supported by study-group bootstrap. Keep the current random forest as a benchmark because grouped cross-validation gains are inconsistent and fixed-threshold F1/balanced accuracy do not improve.</x:v>
      </x:c>
      <x:c r="L21" s="70" t="str">
        <x:v>TabPFN-3 is clearly stronger for continuous ADA-frequency prediction on the sealed test set, and its Brier/log-loss calibration gains are supported by study-group bootstrap. Keep the current random forest as a benchmark because grouped cross-validation gains are inconsistent and fixed-threshold F1/balanced accuracy do not improve.</x:v>
      </x:c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</x:row>
    <x:row r="22">
      <x:c r="A22" s="71" t="str">
        <x:v>Limit: this is internal grouped validation, not external validation. Do not claim reliable extrapolation to entirely unseen molecules. TabPFN-3 weights/outputs are non-commercial unless separately licensed.</x:v>
      </x:c>
      <x:c r="B22" s="71" t="str">
        <x:v>Limit: this is internal grouped validation, not external validation. Do not claim reliable extrapolation to entirely unseen molecules. TabPFN-3 weights/outputs are non-commercial unless separately licensed.</x:v>
      </x:c>
      <x:c r="C22" s="71" t="str">
        <x:v>Limit: this is internal grouped validation, not external validation. Do not claim reliable extrapolation to entirely unseen molecules. TabPFN-3 weights/outputs are non-commercial unless separately licensed.</x:v>
      </x:c>
      <x:c r="D22" s="71" t="str">
        <x:v>Limit: this is internal grouped validation, not external validation. Do not claim reliable extrapolation to entirely unseen molecules. TabPFN-3 weights/outputs are non-commercial unless separately licensed.</x:v>
      </x:c>
      <x:c r="E22" s="71" t="str">
        <x:v>Limit: this is internal grouped validation, not external validation. Do not claim reliable extrapolation to entirely unseen molecules. TabPFN-3 weights/outputs are non-commercial unless separately licensed.</x:v>
      </x:c>
      <x:c r="F22" s="71" t="str">
        <x:v>Limit: this is internal grouped validation, not external validation. Do not claim reliable extrapolation to entirely unseen molecules. TabPFN-3 weights/outputs are non-commercial unless separately licensed.</x:v>
      </x:c>
      <x:c r="G22" s="71" t="str">
        <x:v>Limit: this is internal grouped validation, not external validation. Do not claim reliable extrapolation to entirely unseen molecules. TabPFN-3 weights/outputs are non-commercial unless separately licensed.</x:v>
      </x:c>
      <x:c r="H22" s="71" t="str">
        <x:v>Limit: this is internal grouped validation, not external validation. Do not claim reliable extrapolation to entirely unseen molecules. TabPFN-3 weights/outputs are non-commercial unless separately licensed.</x:v>
      </x:c>
      <x:c r="I22" s="71" t="str">
        <x:v>Limit: this is internal grouped validation, not external validation. Do not claim reliable extrapolation to entirely unseen molecules. TabPFN-3 weights/outputs are non-commercial unless separately licensed.</x:v>
      </x:c>
      <x:c r="J22" s="71" t="str">
        <x:v>Limit: this is internal grouped validation, not external validation. Do not claim reliable extrapolation to entirely unseen molecules. TabPFN-3 weights/outputs are non-commercial unless separately licensed.</x:v>
      </x:c>
      <x:c r="K22" s="71" t="str">
        <x:v>Limit: this is internal grouped validation, not external validation. Do not claim reliable extrapolation to entirely unseen molecules. TabPFN-3 weights/outputs are non-commercial unless separately licensed.</x:v>
      </x:c>
      <x:c r="L22" s="71" t="str">
        <x:v>Limit: this is internal grouped validation, not external validation. Do not claim reliable extrapolation to entirely unseen molecules. TabPFN-3 weights/outputs are non-commercial unless separately licensed.</x:v>
      </x:c>
      <x:c r="M22" s="65"/>
      <x:c r="N22" s="65"/>
      <x:c r="O22" s="65"/>
      <x:c r="P22" s="65"/>
      <x:c r="Q22" s="65"/>
      <x:c r="R22" s="65"/>
      <x:c r="S22" s="65"/>
      <x:c r="T22" s="65"/>
      <x:c r="U22" s="65"/>
      <x:c r="V22" s="65"/>
    </x:row>
    <x:row r="23">
      <x:c r="A23" s="71" t="str">
        <x:v>Limit: this is internal grouped validation, not external validation. Do not claim reliable extrapolation to entirely unseen molecules. TabPFN-3 weights/outputs are non-commercial unless separately licensed.</x:v>
      </x:c>
      <x:c r="B23" s="71" t="str">
        <x:v>Limit: this is internal grouped validation, not external validation. Do not claim reliable extrapolation to entirely unseen molecules. TabPFN-3 weights/outputs are non-commercial unless separately licensed.</x:v>
      </x:c>
      <x:c r="C23" s="71" t="str">
        <x:v>Limit: this is internal grouped validation, not external validation. Do not claim reliable extrapolation to entirely unseen molecules. TabPFN-3 weights/outputs are non-commercial unless separately licensed.</x:v>
      </x:c>
      <x:c r="D23" s="71" t="str">
        <x:v>Limit: this is internal grouped validation, not external validation. Do not claim reliable extrapolation to entirely unseen molecules. TabPFN-3 weights/outputs are non-commercial unless separately licensed.</x:v>
      </x:c>
      <x:c r="E23" s="71" t="str">
        <x:v>Limit: this is internal grouped validation, not external validation. Do not claim reliable extrapolation to entirely unseen molecules. TabPFN-3 weights/outputs are non-commercial unless separately licensed.</x:v>
      </x:c>
      <x:c r="F23" s="71" t="str">
        <x:v>Limit: this is internal grouped validation, not external validation. Do not claim reliable extrapolation to entirely unseen molecules. TabPFN-3 weights/outputs are non-commercial unless separately licensed.</x:v>
      </x:c>
      <x:c r="G23" s="71" t="str">
        <x:v>Limit: this is internal grouped validation, not external validation. Do not claim reliable extrapolation to entirely unseen molecules. TabPFN-3 weights/outputs are non-commercial unless separately licensed.</x:v>
      </x:c>
      <x:c r="H23" s="71" t="str">
        <x:v>Limit: this is internal grouped validation, not external validation. Do not claim reliable extrapolation to entirely unseen molecules. TabPFN-3 weights/outputs are non-commercial unless separately licensed.</x:v>
      </x:c>
      <x:c r="I23" s="71" t="str">
        <x:v>Limit: this is internal grouped validation, not external validation. Do not claim reliable extrapolation to entirely unseen molecules. TabPFN-3 weights/outputs are non-commercial unless separately licensed.</x:v>
      </x:c>
      <x:c r="J23" s="71" t="str">
        <x:v>Limit: this is internal grouped validation, not external validation. Do not claim reliable extrapolation to entirely unseen molecules. TabPFN-3 weights/outputs are non-commercial unless separately licensed.</x:v>
      </x:c>
      <x:c r="K23" s="71" t="str">
        <x:v>Limit: this is internal grouped validation, not external validation. Do not claim reliable extrapolation to entirely unseen molecules. TabPFN-3 weights/outputs are non-commercial unless separately licensed.</x:v>
      </x:c>
      <x:c r="L23" s="71" t="str">
        <x:v>Limit: this is internal grouped validation, not external validation. Do not claim reliable extrapolation to entirely unseen molecules. TabPFN-3 weights/outputs are non-commercial unless separately licensed.</x:v>
      </x:c>
      <x:c r="M23" s="65"/>
      <x:c r="N23" s="65"/>
      <x:c r="O23" s="65"/>
      <x:c r="P23" s="65"/>
      <x:c r="Q23" s="65"/>
      <x:c r="R23" s="65"/>
      <x:c r="S23" s="65"/>
      <x:c r="T23" s="65"/>
      <x:c r="U23" s="65"/>
      <x:c r="V23" s="65"/>
    </x:row>
    <x:row r="24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  <x:c r="P24" s="65"/>
      <x:c r="Q24" s="65"/>
      <x:c r="R24" s="65"/>
      <x:c r="S24" s="65"/>
      <x:c r="T24" s="65"/>
      <x:c r="U24" s="65"/>
      <x:c r="V24" s="65"/>
    </x:row>
    <x:row r="25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  <x:c r="P25" s="65"/>
      <x:c r="Q25" s="65"/>
      <x:c r="R25" s="65"/>
      <x:c r="S25" s="65"/>
      <x:c r="T25" s="65"/>
      <x:c r="U25" s="65"/>
      <x:c r="V25" s="65"/>
    </x:row>
    <x:row r="26" ht="30" customHeight="1">
      <x:c r="A26" s="41" t="str">
        <x:v>Metric</x:v>
      </x:c>
      <x:c r="B26" s="43" t="str">
        <x:v>TabPFN relative improvement (%)</x:v>
      </x:c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  <x:c r="P26" s="65"/>
      <x:c r="Q26" s="65"/>
      <x:c r="R26" s="65"/>
      <x:c r="S26" s="65"/>
      <x:c r="T26" s="65"/>
      <x:c r="U26" s="65"/>
      <x:c r="V26" s="65"/>
    </x:row>
    <x:row r="27">
      <x:c r="A27" s="47" t="str">
        <x:f>'Test_Comparison'!B3</x:f>
        <x:v>MAE</x:v>
      </x:c>
      <x:c r="B27" s="62" t="n">
        <x:f>'Test_Comparison'!I3*100</x:f>
        <x:v>28.192247063020005</x:v>
      </x:c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  <x:c r="P27" s="65"/>
      <x:c r="Q27" s="65"/>
      <x:c r="R27" s="65"/>
      <x:c r="S27" s="65"/>
      <x:c r="T27" s="65"/>
      <x:c r="U27" s="65"/>
      <x:c r="V27" s="65"/>
    </x:row>
    <x:row r="28">
      <x:c r="A28" s="48" t="str">
        <x:f>'Test_Comparison'!B4</x:f>
        <x:v>RMSE</x:v>
      </x:c>
      <x:c r="B28" s="63" t="n">
        <x:f>'Test_Comparison'!I4*100</x:f>
        <x:v>15.634906072735541</x:v>
      </x:c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  <x:c r="P28" s="65"/>
      <x:c r="Q28" s="65"/>
      <x:c r="R28" s="65"/>
      <x:c r="S28" s="65"/>
      <x:c r="T28" s="65"/>
      <x:c r="U28" s="65"/>
      <x:c r="V28" s="65"/>
    </x:row>
    <x:row r="29">
      <x:c r="A29" s="48" t="str">
        <x:f>'Test_Comparison'!B5</x:f>
        <x:v>R2</x:v>
      </x:c>
      <x:c r="B29" s="63" t="n">
        <x:f>'Test_Comparison'!I5*100</x:f>
        <x:v>33.66365401723035</x:v>
      </x:c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  <x:c r="P29" s="65"/>
      <x:c r="Q29" s="65"/>
      <x:c r="R29" s="65"/>
      <x:c r="S29" s="65"/>
      <x:c r="T29" s="65"/>
      <x:c r="U29" s="65"/>
      <x:c r="V29" s="65"/>
    </x:row>
    <x:row r="30">
      <x:c r="A30" s="48" t="str">
        <x:f>'Test_Comparison'!B6</x:f>
        <x:v>ROC_AUC</x:v>
      </x:c>
      <x:c r="B30" s="63" t="n">
        <x:f>'Test_Comparison'!I6*100</x:f>
        <x:v>3.7423533645196105</x:v>
      </x:c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  <x:c r="P30" s="65"/>
      <x:c r="Q30" s="65"/>
      <x:c r="R30" s="65"/>
      <x:c r="S30" s="65"/>
      <x:c r="T30" s="65"/>
      <x:c r="U30" s="65"/>
      <x:c r="V30" s="65"/>
    </x:row>
    <x:row r="31">
      <x:c r="A31" s="48" t="str">
        <x:f>'Test_Comparison'!B7</x:f>
        <x:v>PR_AUC</x:v>
      </x:c>
      <x:c r="B31" s="63" t="n">
        <x:f>'Test_Comparison'!I7*100</x:f>
        <x:v>2.902989578808978</x:v>
      </x:c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  <x:c r="P31" s="65"/>
      <x:c r="Q31" s="65"/>
      <x:c r="R31" s="65"/>
      <x:c r="S31" s="65"/>
      <x:c r="T31" s="65"/>
      <x:c r="U31" s="65"/>
      <x:c r="V31" s="65"/>
    </x:row>
    <x:row r="32">
      <x:c r="A32" s="48" t="str">
        <x:f>'Test_Comparison'!B8</x:f>
        <x:v>F1</x:v>
      </x:c>
      <x:c r="B32" s="63" t="n">
        <x:f>'Test_Comparison'!I8*100</x:f>
        <x:v>-4.062126642771809</x:v>
      </x:c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  <x:c r="P32" s="65"/>
      <x:c r="Q32" s="65"/>
      <x:c r="R32" s="65"/>
      <x:c r="S32" s="65"/>
      <x:c r="T32" s="65"/>
      <x:c r="U32" s="65"/>
      <x:c r="V32" s="65"/>
    </x:row>
    <x:row r="33">
      <x:c r="A33" s="48" t="str">
        <x:f>'Test_Comparison'!B9</x:f>
        <x:v>Balanced_Accuracy</x:v>
      </x:c>
      <x:c r="B33" s="63" t="n">
        <x:f>'Test_Comparison'!I9*100</x:f>
        <x:v>-2.6522983104651017</x:v>
      </x:c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  <x:c r="P33" s="65"/>
      <x:c r="Q33" s="65"/>
      <x:c r="R33" s="65"/>
      <x:c r="S33" s="65"/>
      <x:c r="T33" s="65"/>
      <x:c r="U33" s="65"/>
      <x:c r="V33" s="65"/>
    </x:row>
    <x:row r="34">
      <x:c r="A34" s="48" t="str">
        <x:f>'Test_Comparison'!B10</x:f>
        <x:v>Brier</x:v>
      </x:c>
      <x:c r="B34" s="63" t="n">
        <x:f>'Test_Comparison'!I10*100</x:f>
        <x:v>19.21960429720403</x:v>
      </x:c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  <x:c r="P34" s="65"/>
      <x:c r="Q34" s="65"/>
      <x:c r="R34" s="65"/>
      <x:c r="S34" s="65"/>
      <x:c r="T34" s="65"/>
      <x:c r="U34" s="65"/>
      <x:c r="V34" s="65"/>
    </x:row>
    <x:row r="35">
      <x:c r="A35" s="48" t="str">
        <x:f>'Test_Comparison'!B11</x:f>
        <x:v>Log_Loss</x:v>
      </x:c>
      <x:c r="B35" s="63" t="n">
        <x:f>'Test_Comparison'!I11*100</x:f>
        <x:v>17.37324066790008</x:v>
      </x:c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</x:row>
  </x:sheetData>
  <x:mergeCells>
    <x:mergeCell ref="A1:L1"/>
    <x:mergeCell ref="A2:L2"/>
    <x:mergeCell ref="A3:C3"/>
    <x:mergeCell ref="D3:F3"/>
    <x:mergeCell ref="G3:I3"/>
    <x:mergeCell ref="J3:L3"/>
    <x:mergeCell ref="A19:L19"/>
    <x:mergeCell ref="A20:L21"/>
    <x:mergeCell ref="A22:L23"/>
  </x:mergeCells>
  <x:conditionalFormatting sqref="D8:D16">
    <x:cfRule type="cellIs" dxfId="0" priority="1" operator="greaterThan">
      <x:formula>0</x:formula>
    </x:cfRule>
    <x:cfRule type="cellIs" dxfId="1" priority="2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540ac5316ac64f6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3" hidden="0" customWidth="1"/>
    <x:col min="3" max="3" width="11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2" customHeight="1">
      <x:c r="A1" s="4" t="str">
        <x:v>Sealed Test-Set Comparison</x:v>
      </x:c>
      <x:c r="B1" s="4" t="str">
        <x:v>Sealed Test-Set Comparison</x:v>
      </x:c>
      <x:c r="C1" s="4" t="str">
        <x:v>Sealed Test-Set Comparison</x:v>
      </x:c>
      <x:c r="D1" s="4" t="str">
        <x:v>Sealed Test-Set Comparison</x:v>
      </x:c>
      <x:c r="E1" s="4" t="str">
        <x:v>Sealed Test-Set Comparison</x:v>
      </x:c>
      <x:c r="F1" s="4" t="str">
        <x:v>Sealed Test-Set Comparison</x:v>
      </x:c>
      <x:c r="G1" s="4" t="str">
        <x:v>Sealed Test-Set Comparison</x:v>
      </x:c>
      <x:c r="H1" s="4" t="str">
        <x:v>Sealed Test-Set Comparison</x:v>
      </x:c>
      <x:c r="I1" s="4" t="str">
        <x:v>Sealed Test-Set Comparison</x:v>
      </x:c>
      <x:c r="J1" s="4" t="str">
        <x:v>Sealed Test-Set Comparison</x:v>
      </x:c>
    </x:row>
    <x:row r="2" ht="30" customHeight="1">
      <x:c r="A2" s="41" t="str">
        <x:v>Outcome</x:v>
      </x:c>
      <x:c r="B2" s="42" t="str">
        <x:v>Metric</x:v>
      </x:c>
      <x:c r="C2" s="42" t="str">
        <x:v>Better</x:v>
      </x:c>
      <x:c r="D2" s="42" t="str">
        <x:v>Current model</x:v>
      </x:c>
      <x:c r="E2" s="42" t="str">
        <x:v>Current value</x:v>
      </x:c>
      <x:c r="F2" s="42" t="str">
        <x:v>TabPFN model</x:v>
      </x:c>
      <x:c r="G2" s="42" t="str">
        <x:v>TabPFN value</x:v>
      </x:c>
      <x:c r="H2" s="42" t="str">
        <x:v>Delta (Tab-current)</x:v>
      </x:c>
      <x:c r="I2" s="42" t="str">
        <x:v>Relative improvement</x:v>
      </x:c>
      <x:c r="J2" s="43" t="str">
        <x:v>Winner</x:v>
      </x:c>
    </x:row>
    <x:row r="3">
      <x:c r="A3" s="47" t="str">
        <x:v>continuous</x:v>
      </x:c>
      <x:c r="B3" s="47" t="str">
        <x:v>MAE</x:v>
      </x:c>
      <x:c r="C3" s="47" t="str">
        <x:v>Lower</x:v>
      </x:c>
      <x:c r="D3" s="47" t="str">
        <x:v>Random forest</x:v>
      </x:c>
      <x:c r="E3" s="49" t="n">
        <x:v>10.584620008783013</x:v>
      </x:c>
      <x:c r="F3" s="49" t="str">
        <x:v>TabPFN-3</x:v>
      </x:c>
      <x:c r="G3" s="49" t="n">
        <x:v>7.600577785225056</x:v>
      </x:c>
      <x:c r="H3" s="49" t="n">
        <x:f>G3-E3</x:f>
        <x:v>-2.9840422235579567</x:v>
      </x:c>
      <x:c r="I3" s="51" t="n">
        <x:f>IF(C3="Higher",H3/ABS(E3),-H3/ABS(E3))</x:f>
        <x:v>0.28192247063020004</x:v>
      </x:c>
      <x:c r="J3" s="47" t="str">
        <x:f>IF(I3&gt;0,F3,IF(I3&lt;0,D3,"Tie"))</x:f>
        <x:v>TabPFN-3</x:v>
      </x:c>
    </x:row>
    <x:row r="4">
      <x:c r="A4" s="48" t="str">
        <x:v>continuous</x:v>
      </x:c>
      <x:c r="B4" s="48" t="str">
        <x:v>RMSE</x:v>
      </x:c>
      <x:c r="C4" s="48" t="str">
        <x:v>Lower</x:v>
      </x:c>
      <x:c r="D4" s="48" t="str">
        <x:v>Random forest</x:v>
      </x:c>
      <x:c r="E4" s="50" t="n">
        <x:v>15.142227305900116</x:v>
      </x:c>
      <x:c r="F4" s="50" t="str">
        <x:v>TabPFN-3</x:v>
      </x:c>
      <x:c r="G4" s="50" t="n">
        <x:v>12.77475428930252</x:v>
      </x:c>
      <x:c r="H4" s="50" t="n">
        <x:f>G4-E4</x:f>
        <x:v>-2.3674730165975966</x:v>
      </x:c>
      <x:c r="I4" s="52" t="n">
        <x:f>IF(C4="Higher",H4/ABS(E4),-H4/ABS(E4))</x:f>
        <x:v>0.1563490607273554</x:v>
      </x:c>
      <x:c r="J4" s="48" t="str">
        <x:f>IF(I4&gt;0,F4,IF(I4&lt;0,D4,"Tie"))</x:f>
        <x:v>TabPFN-3</x:v>
      </x:c>
    </x:row>
    <x:row r="5">
      <x:c r="A5" s="48" t="str">
        <x:v>continuous</x:v>
      </x:c>
      <x:c r="B5" s="48" t="str">
        <x:v>R2</x:v>
      </x:c>
      <x:c r="C5" s="48" t="str">
        <x:v>Higher</x:v>
      </x:c>
      <x:c r="D5" s="48" t="str">
        <x:v>Random forest</x:v>
      </x:c>
      <x:c r="E5" s="50" t="n">
        <x:v>0.4612864056583219</x:v>
      </x:c>
      <x:c r="F5" s="50" t="str">
        <x:v>TabPFN-3</x:v>
      </x:c>
      <x:c r="G5" s="50" t="n">
        <x:v>0.6165722652876571</x:v>
      </x:c>
      <x:c r="H5" s="50" t="n">
        <x:f>G5-E5</x:f>
        <x:v>0.15528585962933517</x:v>
      </x:c>
      <x:c r="I5" s="52" t="n">
        <x:f>IF(C5="Higher",H5/ABS(E5),-H5/ABS(E5))</x:f>
        <x:v>0.3366365401723035</x:v>
      </x:c>
      <x:c r="J5" s="48" t="str">
        <x:f>IF(I5&gt;0,F5,IF(I5&lt;0,D5,"Tie"))</x:f>
        <x:v>TabPFN-3</x:v>
      </x:c>
    </x:row>
    <x:row r="6">
      <x:c r="A6" s="48" t="str">
        <x:v>binary</x:v>
      </x:c>
      <x:c r="B6" s="48" t="str">
        <x:v>ROC_AUC</x:v>
      </x:c>
      <x:c r="C6" s="48" t="str">
        <x:v>Higher</x:v>
      </x:c>
      <x:c r="D6" s="48" t="str">
        <x:v>Random forest</x:v>
      </x:c>
      <x:c r="E6" s="50" t="n">
        <x:v>0.8551323162634016</x:v>
      </x:c>
      <x:c r="F6" s="50" t="str">
        <x:v>TabPFN-3</x:v>
      </x:c>
      <x:c r="G6" s="50" t="n">
        <x:v>0.8871343892721795</x:v>
      </x:c>
      <x:c r="H6" s="50" t="n">
        <x:f>G6-E6</x:f>
        <x:v>0.03200207300877789</x:v>
      </x:c>
      <x:c r="I6" s="52" t="n">
        <x:f>IF(C6="Higher",H6/ABS(E6),-H6/ABS(E6))</x:f>
        <x:v>0.03742353364519611</x:v>
      </x:c>
      <x:c r="J6" s="48" t="str">
        <x:f>IF(I6&gt;0,F6,IF(I6&lt;0,D6,"Tie"))</x:f>
        <x:v>TabPFN-3</x:v>
      </x:c>
    </x:row>
    <x:row r="7">
      <x:c r="A7" s="48" t="str">
        <x:v>binary</x:v>
      </x:c>
      <x:c r="B7" s="48" t="str">
        <x:v>PR_AUC</x:v>
      </x:c>
      <x:c r="C7" s="48" t="str">
        <x:v>Higher</x:v>
      </x:c>
      <x:c r="D7" s="48" t="str">
        <x:v>Random forest</x:v>
      </x:c>
      <x:c r="E7" s="50" t="n">
        <x:v>0.767987874672056</x:v>
      </x:c>
      <x:c r="F7" s="50" t="str">
        <x:v>TabPFN-3</x:v>
      </x:c>
      <x:c r="G7" s="50" t="n">
        <x:v>0.7902824826403023</x:v>
      </x:c>
      <x:c r="H7" s="50" t="n">
        <x:f>G7-E7</x:f>
        <x:v>0.02229460796824634</x:v>
      </x:c>
      <x:c r="I7" s="52" t="n">
        <x:f>IF(C7="Higher",H7/ABS(E7),-H7/ABS(E7))</x:f>
        <x:v>0.029029895788089777</x:v>
      </x:c>
      <x:c r="J7" s="48" t="str">
        <x:f>IF(I7&gt;0,F7,IF(I7&lt;0,D7,"Tie"))</x:f>
        <x:v>TabPFN-3</x:v>
      </x:c>
    </x:row>
    <x:row r="8">
      <x:c r="A8" s="48" t="str">
        <x:v>binary</x:v>
      </x:c>
      <x:c r="B8" s="48" t="str">
        <x:v>F1</x:v>
      </x:c>
      <x:c r="C8" s="48" t="str">
        <x:v>Higher</x:v>
      </x:c>
      <x:c r="D8" s="48" t="str">
        <x:v>Random forest</x:v>
      </x:c>
      <x:c r="E8" s="50" t="n">
        <x:v>0.7012987012987013</x:v>
      </x:c>
      <x:c r="F8" s="50" t="str">
        <x:v>TabPFN-3</x:v>
      </x:c>
      <x:c r="G8" s="50" t="n">
        <x:v>0.6728110599078341</x:v>
      </x:c>
      <x:c r="H8" s="50" t="n">
        <x:f>G8-E8</x:f>
        <x:v>-0.028487641390867235</x:v>
      </x:c>
      <x:c r="I8" s="52" t="n">
        <x:f>IF(C8="Higher",H8/ABS(E8),-H8/ABS(E8))</x:f>
        <x:v>-0.04062126642771809</x:v>
      </x:c>
      <x:c r="J8" s="48" t="str">
        <x:f>IF(I8&gt;0,F8,IF(I8&lt;0,D8,"Tie"))</x:f>
        <x:v>Random forest</x:v>
      </x:c>
    </x:row>
    <x:row r="9">
      <x:c r="A9" s="48" t="str">
        <x:v>binary</x:v>
      </x:c>
      <x:c r="B9" s="48" t="str">
        <x:v>Balanced_Accuracy</x:v>
      </x:c>
      <x:c r="C9" s="48" t="str">
        <x:v>Higher</x:v>
      </x:c>
      <x:c r="D9" s="48" t="str">
        <x:v>Random forest</x:v>
      </x:c>
      <x:c r="E9" s="50" t="n">
        <x:v>0.7754834321251579</x:v>
      </x:c>
      <x:c r="F9" s="50" t="str">
        <x:v>TabPFN-3</x:v>
      </x:c>
      <x:c r="G9" s="50" t="n">
        <x:v>0.7549152981569656</x:v>
      </x:c>
      <x:c r="H9" s="50" t="n">
        <x:f>G9-E9</x:f>
        <x:v>-0.020568133968192348</x:v>
      </x:c>
      <x:c r="I9" s="52" t="n">
        <x:f>IF(C9="Higher",H9/ABS(E9),-H9/ABS(E9))</x:f>
        <x:v>-0.026522983104651017</x:v>
      </x:c>
      <x:c r="J9" s="48" t="str">
        <x:f>IF(I9&gt;0,F9,IF(I9&lt;0,D9,"Tie"))</x:f>
        <x:v>Random forest</x:v>
      </x:c>
    </x:row>
    <x:row r="10">
      <x:c r="A10" s="48" t="str">
        <x:v>binary</x:v>
      </x:c>
      <x:c r="B10" s="48" t="str">
        <x:v>Brier</x:v>
      </x:c>
      <x:c r="C10" s="48" t="str">
        <x:v>Lower</x:v>
      </x:c>
      <x:c r="D10" s="48" t="str">
        <x:v>Random forest</x:v>
      </x:c>
      <x:c r="E10" s="50" t="n">
        <x:v>0.1586561999273386</x:v>
      </x:c>
      <x:c r="F10" s="50" t="str">
        <x:v>TabPFN-3</x:v>
      </x:c>
      <x:c r="G10" s="50" t="n">
        <x:v>0.1281631061083232</x:v>
      </x:c>
      <x:c r="H10" s="50" t="n">
        <x:f>G10-E10</x:f>
        <x:v>-0.030493093819015382</x:v>
      </x:c>
      <x:c r="I10" s="52" t="n">
        <x:f>IF(C10="Higher",H10/ABS(E10),-H10/ABS(E10))</x:f>
        <x:v>0.1921960429720403</x:v>
      </x:c>
      <x:c r="J10" s="48" t="str">
        <x:f>IF(I10&gt;0,F10,IF(I10&lt;0,D10,"Tie"))</x:f>
        <x:v>TabPFN-3</x:v>
      </x:c>
    </x:row>
    <x:row r="11">
      <x:c r="A11" s="48" t="str">
        <x:v>binary</x:v>
      </x:c>
      <x:c r="B11" s="48" t="str">
        <x:v>Log_Loss</x:v>
      </x:c>
      <x:c r="C11" s="48" t="str">
        <x:v>Lower</x:v>
      </x:c>
      <x:c r="D11" s="48" t="str">
        <x:v>Random forest</x:v>
      </x:c>
      <x:c r="E11" s="50" t="n">
        <x:v>0.4936284392249762</x:v>
      </x:c>
      <x:c r="F11" s="50" t="str">
        <x:v>TabPFN-3</x:v>
      </x:c>
      <x:c r="G11" s="50" t="n">
        <x:v>0.4078691824732222</x:v>
      </x:c>
      <x:c r="H11" s="50" t="n">
        <x:f>G11-E11</x:f>
        <x:v>-0.085759256751754</x:v>
      </x:c>
      <x:c r="I11" s="52" t="n">
        <x:f>IF(C11="Higher",H11/ABS(E11),-H11/ABS(E11))</x:f>
        <x:v>0.1737324066790008</x:v>
      </x:c>
      <x:c r="J11" s="48" t="str">
        <x:f>IF(I11&gt;0,F11,IF(I11&lt;0,D11,"Tie"))</x:f>
        <x:v>TabPFN-3</x:v>
      </x:c>
    </x:row>
  </x:sheetData>
  <x:mergeCells>
    <x:mergeCell ref="A1:J1"/>
  </x:mergeCells>
  <x:conditionalFormatting sqref="I3:I11">
    <x:cfRule type="colorScale" priority="1">
      <x:colorScale>
        <x:cfvo type="min"/>
        <x:cfvo type="percentile" val="50"/>
        <x:cfvo type="max"/>
        <x:color rgb="FFFEE2E2"/>
        <x:color rgb="FFFFFFFF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92f7fb66e514e2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3" hidden="0" customWidth="1"/>
    <x:col min="3" max="3" width="11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32" customHeight="1">
      <x:c r="A1" s="4" t="str">
        <x:v>Development-Set 5-Fold GroupKFold Comparison</x:v>
      </x:c>
      <x:c r="B1" s="4" t="str">
        <x:v>Development-Set 5-Fold GroupKFold Comparison</x:v>
      </x:c>
      <x:c r="C1" s="4" t="str">
        <x:v>Development-Set 5-Fold GroupKFold Comparison</x:v>
      </x:c>
      <x:c r="D1" s="4" t="str">
        <x:v>Development-Set 5-Fold GroupKFold Comparison</x:v>
      </x:c>
      <x:c r="E1" s="4" t="str">
        <x:v>Development-Set 5-Fold GroupKFold Comparison</x:v>
      </x:c>
      <x:c r="F1" s="4" t="str">
        <x:v>Development-Set 5-Fold GroupKFold Comparison</x:v>
      </x:c>
      <x:c r="G1" s="4" t="str">
        <x:v>Development-Set 5-Fold GroupKFold Comparison</x:v>
      </x:c>
      <x:c r="H1" s="4" t="str">
        <x:v>Development-Set 5-Fold GroupKFold Comparison</x:v>
      </x:c>
      <x:c r="I1" s="4" t="str">
        <x:v>Development-Set 5-Fold GroupKFold Comparison</x:v>
      </x:c>
      <x:c r="J1" s="4" t="str">
        <x:v>Development-Set 5-Fold GroupKFold Comparison</x:v>
      </x:c>
      <x:c r="K1" s="4" t="str">
        <x:v>Development-Set 5-Fold GroupKFold Comparison</x:v>
      </x:c>
    </x:row>
    <x:row r="2" ht="30" customHeight="1">
      <x:c r="A2" s="41" t="str">
        <x:v>Outcome</x:v>
      </x:c>
      <x:c r="B2" s="42" t="str">
        <x:v>Metric</x:v>
      </x:c>
      <x:c r="C2" s="42" t="str">
        <x:v>Better</x:v>
      </x:c>
      <x:c r="D2" s="42" t="str">
        <x:v>Current model</x:v>
      </x:c>
      <x:c r="E2" s="42" t="str">
        <x:v>Current mean</x:v>
      </x:c>
      <x:c r="F2" s="42" t="str">
        <x:v>Current SD</x:v>
      </x:c>
      <x:c r="G2" s="42" t="str">
        <x:v>TabPFN model</x:v>
      </x:c>
      <x:c r="H2" s="42" t="str">
        <x:v>TabPFN mean</x:v>
      </x:c>
      <x:c r="I2" s="42" t="str">
        <x:v>TabPFN SD</x:v>
      </x:c>
      <x:c r="J2" s="42" t="str">
        <x:v>TabPFN improvement</x:v>
      </x:c>
      <x:c r="K2" s="43" t="str">
        <x:v>Winner by mean</x:v>
      </x:c>
    </x:row>
    <x:row r="3">
      <x:c r="A3" s="47" t="str">
        <x:v>continuous</x:v>
      </x:c>
      <x:c r="B3" s="47" t="str">
        <x:v>MAE</x:v>
      </x:c>
      <x:c r="C3" s="47" t="str">
        <x:v>Lower</x:v>
      </x:c>
      <x:c r="D3" s="47" t="str">
        <x:v>Random forest</x:v>
      </x:c>
      <x:c r="E3" s="49" t="n">
        <x:v>12.28749587514643</x:v>
      </x:c>
      <x:c r="F3" s="49" t="n">
        <x:v>1.1038625962611284</x:v>
      </x:c>
      <x:c r="G3" s="49" t="str">
        <x:v>TabPFN-3</x:v>
      </x:c>
      <x:c r="H3" s="49" t="n">
        <x:v>11.6578801840562</x:v>
      </x:c>
      <x:c r="I3" s="49" t="n">
        <x:v>0.997912753215248</x:v>
      </x:c>
      <x:c r="J3" s="49" t="n">
        <x:f>IF(C3="Higher",H3-E3,E3-H3)</x:f>
        <x:v>0.6296156910902297</x:v>
      </x:c>
      <x:c r="K3" s="47" t="str">
        <x:f>IF(J3&gt;0,G3,IF(J3&lt;0,D3,"Tie"))</x:f>
        <x:v>TabPFN-3</x:v>
      </x:c>
    </x:row>
    <x:row r="4">
      <x:c r="A4" s="48" t="str">
        <x:v>continuous</x:v>
      </x:c>
      <x:c r="B4" s="48" t="str">
        <x:v>RMSE</x:v>
      </x:c>
      <x:c r="C4" s="48" t="str">
        <x:v>Lower</x:v>
      </x:c>
      <x:c r="D4" s="48" t="str">
        <x:v>Random forest</x:v>
      </x:c>
      <x:c r="E4" s="50" t="n">
        <x:v>19.37799608630641</x:v>
      </x:c>
      <x:c r="F4" s="50" t="n">
        <x:v>2.296161472687153</x:v>
      </x:c>
      <x:c r="G4" s="50" t="str">
        <x:v>TabPFN-3</x:v>
      </x:c>
      <x:c r="H4" s="50" t="n">
        <x:v>19.395622050714145</x:v>
      </x:c>
      <x:c r="I4" s="50" t="n">
        <x:v>1.9689076790466624</x:v>
      </x:c>
      <x:c r="J4" s="50" t="n">
        <x:f>IF(C4="Higher",H4-E4,E4-H4)</x:f>
        <x:v>-0.017625964407734784</x:v>
      </x:c>
      <x:c r="K4" s="48" t="str">
        <x:f>IF(J4&gt;0,G4,IF(J4&lt;0,D4,"Tie"))</x:f>
        <x:v>Random forest</x:v>
      </x:c>
    </x:row>
    <x:row r="5">
      <x:c r="A5" s="48" t="str">
        <x:v>continuous</x:v>
      </x:c>
      <x:c r="B5" s="48" t="str">
        <x:v>R2</x:v>
      </x:c>
      <x:c r="C5" s="48" t="str">
        <x:v>Higher</x:v>
      </x:c>
      <x:c r="D5" s="48" t="str">
        <x:v>Random forest</x:v>
      </x:c>
      <x:c r="E5" s="50" t="n">
        <x:v>0.2701516158641942</x:v>
      </x:c>
      <x:c r="F5" s="50" t="n">
        <x:v>0.1315544829500013</x:v>
      </x:c>
      <x:c r="G5" s="50" t="str">
        <x:v>TabPFN-3</x:v>
      </x:c>
      <x:c r="H5" s="50" t="n">
        <x:v>0.2580051358461011</x:v>
      </x:c>
      <x:c r="I5" s="50" t="n">
        <x:v>0.1822007824863632</x:v>
      </x:c>
      <x:c r="J5" s="50" t="n">
        <x:f>IF(C5="Higher",H5-E5,E5-H5)</x:f>
        <x:v>-0.012146480018093098</x:v>
      </x:c>
      <x:c r="K5" s="48" t="str">
        <x:f>IF(J5&gt;0,G5,IF(J5&lt;0,D5,"Tie"))</x:f>
        <x:v>Random forest</x:v>
      </x:c>
    </x:row>
    <x:row r="6">
      <x:c r="A6" s="48" t="str">
        <x:v>binary</x:v>
      </x:c>
      <x:c r="B6" s="48" t="str">
        <x:v>ROC_AUC</x:v>
      </x:c>
      <x:c r="C6" s="48" t="str">
        <x:v>Higher</x:v>
      </x:c>
      <x:c r="D6" s="48" t="str">
        <x:v>Random forest</x:v>
      </x:c>
      <x:c r="E6" s="50" t="n">
        <x:v>0.8046175369601212</x:v>
      </x:c>
      <x:c r="F6" s="50" t="n">
        <x:v>0.0550169842387026</x:v>
      </x:c>
      <x:c r="G6" s="50" t="str">
        <x:v>TabPFN-3</x:v>
      </x:c>
      <x:c r="H6" s="50" t="n">
        <x:v>0.7935030921951359</x:v>
      </x:c>
      <x:c r="I6" s="50" t="n">
        <x:v>0.0172390772121334</x:v>
      </x:c>
      <x:c r="J6" s="50" t="n">
        <x:f>IF(C6="Higher",H6-E6,E6-H6)</x:f>
        <x:v>-0.011114444764985243</x:v>
      </x:c>
      <x:c r="K6" s="48" t="str">
        <x:f>IF(J6&gt;0,G6,IF(J6&lt;0,D6,"Tie"))</x:f>
        <x:v>Random forest</x:v>
      </x:c>
    </x:row>
    <x:row r="7">
      <x:c r="A7" s="48" t="str">
        <x:v>binary</x:v>
      </x:c>
      <x:c r="B7" s="48" t="str">
        <x:v>PR_AUC</x:v>
      </x:c>
      <x:c r="C7" s="48" t="str">
        <x:v>Higher</x:v>
      </x:c>
      <x:c r="D7" s="48" t="str">
        <x:v>Random forest</x:v>
      </x:c>
      <x:c r="E7" s="50" t="n">
        <x:v>0.694905395588069</x:v>
      </x:c>
      <x:c r="F7" s="50" t="n">
        <x:v>0.1051583934760798</x:v>
      </x:c>
      <x:c r="G7" s="50" t="str">
        <x:v>TabPFN-3</x:v>
      </x:c>
      <x:c r="H7" s="50" t="n">
        <x:v>0.6751011465879352</x:v>
      </x:c>
      <x:c r="I7" s="50" t="n">
        <x:v>0.0753521118221321</x:v>
      </x:c>
      <x:c r="J7" s="50" t="n">
        <x:f>IF(C7="Higher",H7-E7,E7-H7)</x:f>
        <x:v>-0.019804249000133778</x:v>
      </x:c>
      <x:c r="K7" s="48" t="str">
        <x:f>IF(J7&gt;0,G7,IF(J7&lt;0,D7,"Tie"))</x:f>
        <x:v>Random forest</x:v>
      </x:c>
    </x:row>
    <x:row r="8">
      <x:c r="A8" s="48" t="str">
        <x:v>binary</x:v>
      </x:c>
      <x:c r="B8" s="48" t="str">
        <x:v>F1</x:v>
      </x:c>
      <x:c r="C8" s="48" t="str">
        <x:v>Higher</x:v>
      </x:c>
      <x:c r="D8" s="48" t="str">
        <x:v>Random forest</x:v>
      </x:c>
      <x:c r="E8" s="50" t="n">
        <x:v>0.596044141616826</x:v>
      </x:c>
      <x:c r="F8" s="50" t="n">
        <x:v>0.096771713441419</x:v>
      </x:c>
      <x:c r="G8" s="50" t="str">
        <x:v>TabPFN-3</x:v>
      </x:c>
      <x:c r="H8" s="50" t="n">
        <x:v>0.5797172447212123</x:v>
      </x:c>
      <x:c r="I8" s="50" t="n">
        <x:v>0.0538715652575444</x:v>
      </x:c>
      <x:c r="J8" s="50" t="n">
        <x:f>IF(C8="Higher",H8-E8,E8-H8)</x:f>
        <x:v>-0.01632689689561362</x:v>
      </x:c>
      <x:c r="K8" s="48" t="str">
        <x:f>IF(J8&gt;0,G8,IF(J8&lt;0,D8,"Tie"))</x:f>
        <x:v>Random forest</x:v>
      </x:c>
    </x:row>
    <x:row r="9">
      <x:c r="A9" s="48" t="str">
        <x:v>binary</x:v>
      </x:c>
      <x:c r="B9" s="48" t="str">
        <x:v>Balanced_Accuracy</x:v>
      </x:c>
      <x:c r="C9" s="48" t="str">
        <x:v>Higher</x:v>
      </x:c>
      <x:c r="D9" s="48" t="str">
        <x:v>Random forest</x:v>
      </x:c>
      <x:c r="E9" s="50" t="n">
        <x:v>0.7005991368016306</x:v>
      </x:c>
      <x:c r="F9" s="50" t="n">
        <x:v>0.0640263164531921</x:v>
      </x:c>
      <x:c r="G9" s="50" t="str">
        <x:v>TabPFN-3</x:v>
      </x:c>
      <x:c r="H9" s="50" t="n">
        <x:v>0.6963809805001127</x:v>
      </x:c>
      <x:c r="I9" s="50" t="n">
        <x:v>0.0341939948169171</x:v>
      </x:c>
      <x:c r="J9" s="50" t="n">
        <x:f>IF(C9="Higher",H9-E9,E9-H9)</x:f>
        <x:v>-0.004218156301517895</x:v>
      </x:c>
      <x:c r="K9" s="48" t="str">
        <x:f>IF(J9&gt;0,G9,IF(J9&lt;0,D9,"Tie"))</x:f>
        <x:v>Random forest</x:v>
      </x:c>
    </x:row>
    <x:row r="10">
      <x:c r="A10" s="48" t="str">
        <x:v>binary</x:v>
      </x:c>
      <x:c r="B10" s="48" t="str">
        <x:v>Brier</x:v>
      </x:c>
      <x:c r="C10" s="48" t="str">
        <x:v>Lower</x:v>
      </x:c>
      <x:c r="D10" s="48" t="str">
        <x:v>Random forest</x:v>
      </x:c>
      <x:c r="E10" s="50" t="n">
        <x:v>0.1703284867921461</x:v>
      </x:c>
      <x:c r="F10" s="50" t="n">
        <x:v>0.0216128350886931</x:v>
      </x:c>
      <x:c r="G10" s="50" t="str">
        <x:v>TabPFN-3</x:v>
      </x:c>
      <x:c r="H10" s="50" t="n">
        <x:v>0.1680074336748322</x:v>
      </x:c>
      <x:c r="I10" s="50" t="n">
        <x:v>0.0156519894019789</x:v>
      </x:c>
      <x:c r="J10" s="50" t="n">
        <x:f>IF(C10="Higher",H10-E10,E10-H10)</x:f>
        <x:v>0.002321053117313898</x:v>
      </x:c>
      <x:c r="K10" s="48" t="str">
        <x:f>IF(J10&gt;0,G10,IF(J10&lt;0,D10,"Tie"))</x:f>
        <x:v>TabPFN-3</x:v>
      </x:c>
    </x:row>
  </x:sheetData>
  <x:mergeCells>
    <x:mergeCell ref="A1:K1"/>
  </x:mergeCells>
  <x:conditionalFormatting sqref="J3:J10">
    <x:cfRule type="cellIs" dxfId="2" priority="1" operator="greaterThan">
      <x:formula>0</x:formula>
    </x:cfRule>
    <x:cfRule type="cellIs" dxfId="3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af096c00709460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 ht="32" customHeight="1">
      <x:c r="A1" s="4" t="str">
        <x:v>TabPFN-3 Fold-Level Metrics</x:v>
      </x:c>
      <x:c r="B1" s="4" t="str">
        <x:v>TabPFN-3 Fold-Level Metrics</x:v>
      </x:c>
      <x:c r="C1" s="4" t="str">
        <x:v>TabPFN-3 Fold-Level Metrics</x:v>
      </x:c>
      <x:c r="D1" s="4" t="str">
        <x:v>TabPFN-3 Fold-Level Metrics</x:v>
      </x:c>
      <x:c r="E1" s="4" t="str">
        <x:v>TabPFN-3 Fold-Level Metrics</x:v>
      </x:c>
      <x:c r="F1" s="4" t="str">
        <x:v>TabPFN-3 Fold-Level Metrics</x:v>
      </x:c>
      <x:c r="G1" s="4" t="str">
        <x:v>TabPFN-3 Fold-Level Metrics</x:v>
      </x:c>
      <x:c r="H1" s="4" t="str">
        <x:v>TabPFN-3 Fold-Level Metrics</x:v>
      </x:c>
      <x:c r="I1" s="4" t="str">
        <x:v>TabPFN-3 Fold-Level Metrics</x:v>
      </x:c>
      <x:c r="J1" s="4" t="str">
        <x:v>TabPFN-3 Fold-Level Metrics</x:v>
      </x:c>
      <x:c r="K1" s="4" t="str">
        <x:v>TabPFN-3 Fold-Level Metrics</x:v>
      </x:c>
      <x:c r="L1" s="4" t="str">
        <x:v>TabPFN-3 Fold-Level Metrics</x:v>
      </x:c>
      <x:c r="M1" s="4" t="str">
        <x:v>TabPFN-3 Fold-Level Metrics</x:v>
      </x:c>
      <x:c r="N1" s="4" t="str">
        <x:v>TabPFN-3 Fold-Level Metrics</x:v>
      </x:c>
      <x:c r="O1" s="4" t="str">
        <x:v>TabPFN-3 Fold-Level Metrics</x:v>
      </x:c>
    </x:row>
    <x:row r="2" ht="30" customHeight="1">
      <x:c r="A2" s="41" t="str">
        <x:v>Outcome</x:v>
      </x:c>
      <x:c r="B2" s="42" t="str">
        <x:v>Fold</x:v>
      </x:c>
      <x:c r="C2" s="42" t="str">
        <x:v>MAE</x:v>
      </x:c>
      <x:c r="D2" s="42" t="str">
        <x:v>RMSE</x:v>
      </x:c>
      <x:c r="E2" s="42" t="str">
        <x:v>R2</x:v>
      </x:c>
      <x:c r="F2" s="42" t="str">
        <x:v>ROC-AUC</x:v>
      </x:c>
      <x:c r="G2" s="42" t="str">
        <x:v>PR-AUC</x:v>
      </x:c>
      <x:c r="H2" s="42" t="str">
        <x:v>F1</x:v>
      </x:c>
      <x:c r="I2" s="42" t="str">
        <x:v>Balanced accuracy</x:v>
      </x:c>
      <x:c r="J2" s="42" t="str">
        <x:v>Brier</x:v>
      </x:c>
      <x:c r="K2" s="42" t="str">
        <x:v>Log loss</x:v>
      </x:c>
      <x:c r="L2" s="42" t="str">
        <x:v>Fit seconds</x:v>
      </x:c>
      <x:c r="M2" s="42" t="str">
        <x:v>Predict seconds</x:v>
      </x:c>
      <x:c r="N2" s="42" t="str">
        <x:v>Validation rows</x:v>
      </x:c>
      <x:c r="O2" s="43" t="str">
        <x:v>Validation groups</x:v>
      </x:c>
    </x:row>
    <x:row r="3">
      <x:c r="A3" s="47" t="str">
        <x:v>continuous</x:v>
      </x:c>
      <x:c r="B3" s="47" t="n">
        <x:v>1</x:v>
      </x:c>
      <x:c r="C3" s="49" t="n">
        <x:v>10.518482737487298</x:v>
      </x:c>
      <x:c r="D3" s="49" t="n">
        <x:v>19.72370531788124</x:v>
      </x:c>
      <x:c r="E3" s="49" t="n">
        <x:v>0.0659434760456526</x:v>
      </x:c>
      <x:c r="F3" s="49"/>
      <x:c r="G3" s="49"/>
      <x:c r="H3" s="49"/>
      <x:c r="I3" s="49"/>
      <x:c r="J3" s="49"/>
      <x:c r="K3" s="49"/>
      <x:c r="L3" s="49" t="n">
        <x:v>54.57154140000057</x:v>
      </x:c>
      <x:c r="M3" s="49" t="n">
        <x:v>25.230562700002334</x:v>
      </x:c>
      <x:c r="N3" s="47" t="n">
        <x:v>448</x:v>
      </x:c>
      <x:c r="O3" s="47" t="n">
        <x:v>116</x:v>
      </x:c>
    </x:row>
    <x:row r="4">
      <x:c r="A4" s="48" t="str">
        <x:v>binary</x:v>
      </x:c>
      <x:c r="B4" s="48" t="n">
        <x:v>1</x:v>
      </x:c>
      <x:c r="C4" s="50"/>
      <x:c r="D4" s="50"/>
      <x:c r="E4" s="50"/>
      <x:c r="F4" s="50" t="n">
        <x:v>0.7876184489301763</x:v>
      </x:c>
      <x:c r="G4" s="50" t="n">
        <x:v>0.7056098110887813</x:v>
      </x:c>
      <x:c r="H4" s="50" t="n">
        <x:v>0.5991189427312775</x:v>
      </x:c>
      <x:c r="I4" s="50" t="n">
        <x:v>0.712241856999837</x:v>
      </x:c>
      <x:c r="J4" s="50" t="n">
        <x:v>0.1533590205166347</x:v>
      </x:c>
      <x:c r="K4" s="50" t="n">
        <x:v>0.481558566009582</x:v>
      </x:c>
      <x:c r="L4" s="50" t="n">
        <x:v>42.10864639999636</x:v>
      </x:c>
      <x:c r="M4" s="50" t="n">
        <x:v>20.04612590000033</x:v>
      </x:c>
      <x:c r="N4" s="48" t="n">
        <x:v>448</x:v>
      </x:c>
      <x:c r="O4" s="48" t="n">
        <x:v>116</x:v>
      </x:c>
    </x:row>
    <x:row r="5">
      <x:c r="A5" s="48" t="str">
        <x:v>continuous</x:v>
      </x:c>
      <x:c r="B5" s="48" t="n">
        <x:v>2</x:v>
      </x:c>
      <x:c r="C5" s="50" t="n">
        <x:v>11.283252664214976</x:v>
      </x:c>
      <x:c r="D5" s="50" t="n">
        <x:v>17.618242227420314</x:v>
      </x:c>
      <x:c r="E5" s="50" t="n">
        <x:v>0.268912817514425</x:v>
      </x:c>
      <x:c r="F5" s="50"/>
      <x:c r="G5" s="50"/>
      <x:c r="H5" s="50"/>
      <x:c r="I5" s="50"/>
      <x:c r="J5" s="50"/>
      <x:c r="K5" s="50"/>
      <x:c r="L5" s="50" t="n">
        <x:v>0.5545817000092939</x:v>
      </x:c>
      <x:c r="M5" s="50" t="n">
        <x:v>27.69894149999891</x:v>
      </x:c>
      <x:c r="N5" s="48" t="n">
        <x:v>448</x:v>
      </x:c>
      <x:c r="O5" s="48" t="n">
        <x:v>117</x:v>
      </x:c>
    </x:row>
    <x:row r="6">
      <x:c r="A6" s="48" t="str">
        <x:v>binary</x:v>
      </x:c>
      <x:c r="B6" s="48" t="n">
        <x:v>2</x:v>
      </x:c>
      <x:c r="C6" s="50"/>
      <x:c r="D6" s="50"/>
      <x:c r="E6" s="50"/>
      <x:c r="F6" s="50" t="n">
        <x:v>0.7818471337579618</x:v>
      </x:c>
      <x:c r="G6" s="50" t="n">
        <x:v>0.5937566420485751</x:v>
      </x:c>
      <x:c r="H6" s="50" t="n">
        <x:v>0.5956112852664577</x:v>
      </x:c>
      <x:c r="I6" s="50" t="n">
        <x:v>0.7111655100294705</x:v>
      </x:c>
      <x:c r="J6" s="50" t="n">
        <x:v>0.1818600640119903</x:v>
      </x:c>
      <x:c r="K6" s="50" t="n">
        <x:v>0.5345689819545543</x:v>
      </x:c>
      <x:c r="L6" s="50" t="n">
        <x:v>0.6946222999977181</x:v>
      </x:c>
      <x:c r="M6" s="50" t="n">
        <x:v>26.096430599995077</x:v>
      </x:c>
      <x:c r="N6" s="48" t="n">
        <x:v>448</x:v>
      </x:c>
      <x:c r="O6" s="48" t="n">
        <x:v>117</x:v>
      </x:c>
    </x:row>
    <x:row r="7">
      <x:c r="A7" s="48" t="str">
        <x:v>continuous</x:v>
      </x:c>
      <x:c r="B7" s="48" t="n">
        <x:v>3</x:v>
      </x:c>
      <x:c r="C7" s="50" t="n">
        <x:v>13.164785457504154</x:v>
      </x:c>
      <x:c r="D7" s="50" t="n">
        <x:v>22.58553034461807</x:v>
      </x:c>
      <x:c r="E7" s="50" t="n">
        <x:v>0.4370805510890421</x:v>
      </x:c>
      <x:c r="F7" s="50"/>
      <x:c r="G7" s="50"/>
      <x:c r="H7" s="50"/>
      <x:c r="I7" s="50"/>
      <x:c r="J7" s="50"/>
      <x:c r="K7" s="50"/>
      <x:c r="L7" s="50" t="n">
        <x:v>0.7251273000001675</x:v>
      </x:c>
      <x:c r="M7" s="50" t="n">
        <x:v>32.12557230000675</x:v>
      </x:c>
      <x:c r="N7" s="48" t="n">
        <x:v>447</x:v>
      </x:c>
      <x:c r="O7" s="48" t="n">
        <x:v>116</x:v>
      </x:c>
    </x:row>
    <x:row r="8">
      <x:c r="A8" s="48" t="str">
        <x:v>binary</x:v>
      </x:c>
      <x:c r="B8" s="48" t="n">
        <x:v>3</x:v>
      </x:c>
      <x:c r="C8" s="50"/>
      <x:c r="D8" s="50"/>
      <x:c r="E8" s="50"/>
      <x:c r="F8" s="50" t="n">
        <x:v>0.8236728992048142</x:v>
      </x:c>
      <x:c r="G8" s="50" t="n">
        <x:v>0.7848857709847012</x:v>
      </x:c>
      <x:c r="H8" s="50" t="n">
        <x:v>0.6518518518518519</x:v>
      </x:c>
      <x:c r="I8" s="50" t="n">
        <x:v>0.7365248226950354</x:v>
      </x:c>
      <x:c r="J8" s="50" t="n">
        <x:v>0.1568653035287462</x:v>
      </x:c>
      <x:c r="K8" s="50" t="n">
        <x:v>0.5265471535268725</x:v>
      </x:c>
      <x:c r="L8" s="50" t="n">
        <x:v>0.6351159000041662</x:v>
      </x:c>
      <x:c r="M8" s="50" t="n">
        <x:v>26.273701900005108</x:v>
      </x:c>
      <x:c r="N8" s="48" t="n">
        <x:v>447</x:v>
      </x:c>
      <x:c r="O8" s="48" t="n">
        <x:v>116</x:v>
      </x:c>
    </x:row>
    <x:row r="9">
      <x:c r="A9" s="48" t="str">
        <x:v>continuous</x:v>
      </x:c>
      <x:c r="B9" s="48" t="n">
        <x:v>4</x:v>
      </x:c>
      <x:c r="C9" s="50" t="n">
        <x:v>11.29133309728067</x:v>
      </x:c>
      <x:c r="D9" s="50" t="n">
        <x:v>18.001249109005812</x:v>
      </x:c>
      <x:c r="E9" s="50" t="n">
        <x:v>0.437526457442661</x:v>
      </x:c>
      <x:c r="F9" s="50"/>
      <x:c r="G9" s="50"/>
      <x:c r="H9" s="50"/>
      <x:c r="I9" s="50"/>
      <x:c r="J9" s="50"/>
      <x:c r="K9" s="50"/>
      <x:c r="L9" s="50" t="n">
        <x:v>0.7256956999917747</x:v>
      </x:c>
      <x:c r="M9" s="50" t="n">
        <x:v>32.029234200002975</x:v>
      </x:c>
      <x:c r="N9" s="48" t="n">
        <x:v>447</x:v>
      </x:c>
      <x:c r="O9" s="48" t="n">
        <x:v>116</x:v>
      </x:c>
    </x:row>
    <x:row r="10">
      <x:c r="A10" s="48" t="str">
        <x:v>binary</x:v>
      </x:c>
      <x:c r="B10" s="48" t="n">
        <x:v>4</x:v>
      </x:c>
      <x:c r="C10" s="50"/>
      <x:c r="D10" s="50"/>
      <x:c r="E10" s="50"/>
      <x:c r="F10" s="50" t="n">
        <x:v>0.7909492787342949</x:v>
      </x:c>
      <x:c r="G10" s="50" t="n">
        <x:v>0.6718366061180847</x:v>
      </x:c>
      <x:c r="H10" s="50" t="n">
        <x:v>0.5276595744680851</x:v>
      </x:c>
      <x:c r="I10" s="50" t="n">
        <x:v>0.6676826430898092</x:v>
      </x:c>
      <x:c r="J10" s="50" t="n">
        <x:v>0.1602275035407483</x:v>
      </x:c>
      <x:c r="K10" s="50" t="n">
        <x:v>0.5041393709626383</x:v>
      </x:c>
      <x:c r="L10" s="50" t="n">
        <x:v>0.6472427999979118</x:v>
      </x:c>
      <x:c r="M10" s="50" t="n">
        <x:v>26.245027400000254</x:v>
      </x:c>
      <x:c r="N10" s="48" t="n">
        <x:v>447</x:v>
      </x:c>
      <x:c r="O10" s="48" t="n">
        <x:v>116</x:v>
      </x:c>
    </x:row>
    <x:row r="11">
      <x:c r="A11" s="48" t="str">
        <x:v>continuous</x:v>
      </x:c>
      <x:c r="B11" s="48" t="n">
        <x:v>5</x:v>
      </x:c>
      <x:c r="C11" s="50" t="n">
        <x:v>12.031546963793904</x:v>
      </x:c>
      <x:c r="D11" s="50" t="n">
        <x:v>19.04938325464529</x:v>
      </x:c>
      <x:c r="E11" s="50" t="n">
        <x:v>0.0805623771387245</x:v>
      </x:c>
      <x:c r="F11" s="50"/>
      <x:c r="G11" s="50"/>
      <x:c r="H11" s="50"/>
      <x:c r="I11" s="50"/>
      <x:c r="J11" s="50"/>
      <x:c r="K11" s="50"/>
      <x:c r="L11" s="50" t="n">
        <x:v>0.6900922000058927</x:v>
      </x:c>
      <x:c r="M11" s="50" t="n">
        <x:v>32.226988299997174</x:v>
      </x:c>
      <x:c r="N11" s="48" t="n">
        <x:v>447</x:v>
      </x:c>
      <x:c r="O11" s="48" t="n">
        <x:v>117</x:v>
      </x:c>
    </x:row>
    <x:row r="12">
      <x:c r="A12" s="48" t="str">
        <x:v>binary</x:v>
      </x:c>
      <x:c r="B12" s="48" t="n">
        <x:v>5</x:v>
      </x:c>
      <x:c r="C12" s="50"/>
      <x:c r="D12" s="50"/>
      <x:c r="E12" s="50"/>
      <x:c r="F12" s="50" t="n">
        <x:v>0.7834277003484321</x:v>
      </x:c>
      <x:c r="G12" s="50" t="n">
        <x:v>0.6194169026995335</x:v>
      </x:c>
      <x:c r="H12" s="50" t="n">
        <x:v>0.5243445692883895</x:v>
      </x:c>
      <x:c r="I12" s="50" t="n">
        <x:v>0.6542900696864111</x:v>
      </x:c>
      <x:c r="J12" s="50" t="n">
        <x:v>0.1877252767760413</x:v>
      </x:c>
      <x:c r="K12" s="50" t="n">
        <x:v>0.5663261493696081</x:v>
      </x:c>
      <x:c r="L12" s="50" t="n">
        <x:v>0.6841386000014609</x:v>
      </x:c>
      <x:c r="M12" s="50" t="n">
        <x:v>26.346722100002808</x:v>
      </x:c>
      <x:c r="N12" s="48" t="n">
        <x:v>447</x:v>
      </x:c>
      <x:c r="O12" s="48" t="n">
        <x:v>117</x:v>
      </x:c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dac2f691b6494bc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9" hidden="0" customWidth="1"/>
  </x:cols>
  <x:sheetData>
    <x:row r="1" ht="32" customHeight="1">
      <x:c r="A1" s="4" t="str">
        <x:v>Paired Study-Group Bootstrap on the Sealed Test Set</x:v>
      </x:c>
      <x:c r="B1" s="4" t="str">
        <x:v>Paired Study-Group Bootstrap on the Sealed Test Set</x:v>
      </x:c>
      <x:c r="C1" s="4" t="str">
        <x:v>Paired Study-Group Bootstrap on the Sealed Test Set</x:v>
      </x:c>
      <x:c r="D1" s="4" t="str">
        <x:v>Paired Study-Group Bootstrap on the Sealed Test Set</x:v>
      </x:c>
      <x:c r="E1" s="4" t="str">
        <x:v>Paired Study-Group Bootstrap on the Sealed Test Set</x:v>
      </x:c>
      <x:c r="F1" s="4" t="str">
        <x:v>Paired Study-Group Bootstrap on the Sealed Test Set</x:v>
      </x:c>
      <x:c r="G1" s="4" t="str">
        <x:v>Paired Study-Group Bootstrap on the Sealed Test Set</x:v>
      </x:c>
      <x:c r="H1" s="4" t="str">
        <x:v>Paired Study-Group Bootstrap on the Sealed Test Set</x:v>
      </x:c>
      <x:c r="I1" s="4" t="str">
        <x:v>Paired Study-Group Bootstrap on the Sealed Test Set</x:v>
      </x:c>
      <x:c r="J1" s="4" t="str">
        <x:v>Paired Study-Group Bootstrap on the Sealed Test Set</x:v>
      </x:c>
      <x:c r="K1" s="4" t="str">
        <x:v>Paired Study-Group Bootstrap on the Sealed Test Set</x:v>
      </x:c>
      <x:c r="L1" s="4" t="str">
        <x:v>Paired Study-Group Bootstrap on the Sealed Test Set</x:v>
      </x:c>
    </x:row>
    <x:row r="2" ht="28" customHeight="1">
      <x:c r="A2" s="8" t="str">
        <x:v>Improvement is direction-normalized: positive values favor TabPFN. Resampling unit = model_split_group; 2,000 valid replicates.</x:v>
      </x:c>
      <x:c r="B2" s="8" t="str">
        <x:v>Improvement is direction-normalized: positive values favor TabPFN. Resampling unit = model_split_group; 2,000 valid replicates.</x:v>
      </x:c>
      <x:c r="C2" s="8" t="str">
        <x:v>Improvement is direction-normalized: positive values favor TabPFN. Resampling unit = model_split_group; 2,000 valid replicates.</x:v>
      </x:c>
      <x:c r="D2" s="8" t="str">
        <x:v>Improvement is direction-normalized: positive values favor TabPFN. Resampling unit = model_split_group; 2,000 valid replicates.</x:v>
      </x:c>
      <x:c r="E2" s="8" t="str">
        <x:v>Improvement is direction-normalized: positive values favor TabPFN. Resampling unit = model_split_group; 2,000 valid replicates.</x:v>
      </x:c>
      <x:c r="F2" s="8" t="str">
        <x:v>Improvement is direction-normalized: positive values favor TabPFN. Resampling unit = model_split_group; 2,000 valid replicates.</x:v>
      </x:c>
      <x:c r="G2" s="8" t="str">
        <x:v>Improvement is direction-normalized: positive values favor TabPFN. Resampling unit = model_split_group; 2,000 valid replicates.</x:v>
      </x:c>
      <x:c r="H2" s="8" t="str">
        <x:v>Improvement is direction-normalized: positive values favor TabPFN. Resampling unit = model_split_group; 2,000 valid replicates.</x:v>
      </x:c>
      <x:c r="I2" s="8" t="str">
        <x:v>Improvement is direction-normalized: positive values favor TabPFN. Resampling unit = model_split_group; 2,000 valid replicates.</x:v>
      </x:c>
      <x:c r="J2" s="8" t="str">
        <x:v>Improvement is direction-normalized: positive values favor TabPFN. Resampling unit = model_split_group; 2,000 valid replicates.</x:v>
      </x:c>
      <x:c r="K2" s="8" t="str">
        <x:v>Improvement is direction-normalized: positive values favor TabPFN. Resampling unit = model_split_group; 2,000 valid replicates.</x:v>
      </x:c>
      <x:c r="L2" s="8" t="str">
        <x:v>Improvement is direction-normalized: positive values favor TabPFN. Resampling unit = model_split_group; 2,000 valid replicates.</x:v>
      </x:c>
    </x:row>
    <x:row r="3" ht="30" customHeight="1">
      <x:c r="A3" s="41" t="str">
        <x:v>Outcome</x:v>
      </x:c>
      <x:c r="B3" s="42" t="str">
        <x:v>Metric</x:v>
      </x:c>
      <x:c r="C3" s="42" t="str">
        <x:v>Better</x:v>
      </x:c>
      <x:c r="D3" s="42" t="str">
        <x:v>Current</x:v>
      </x:c>
      <x:c r="E3" s="42" t="str">
        <x:v>TabPFN</x:v>
      </x:c>
      <x:c r="F3" s="42" t="str">
        <x:v>TabPFN improvement</x:v>
      </x:c>
      <x:c r="G3" s="42" t="str">
        <x:v>CI 2.5%</x:v>
      </x:c>
      <x:c r="H3" s="42" t="str">
        <x:v>CI 97.5%</x:v>
      </x:c>
      <x:c r="I3" s="42" t="str">
        <x:v>P(TabPFN better)</x:v>
      </x:c>
      <x:c r="J3" s="42" t="str">
        <x:v>Valid repeats</x:v>
      </x:c>
      <x:c r="K3" s="42" t="str">
        <x:v>Resampling unit</x:v>
      </x:c>
      <x:c r="L3" s="43" t="str">
        <x:v>Conclusion</x:v>
      </x:c>
    </x:row>
    <x:row r="4">
      <x:c r="A4" s="47" t="str">
        <x:v>continuous</x:v>
      </x:c>
      <x:c r="B4" s="47" t="str">
        <x:v>MAE</x:v>
      </x:c>
      <x:c r="C4" s="47" t="str">
        <x:v>Lower</x:v>
      </x:c>
      <x:c r="D4" s="49" t="n">
        <x:v>10.584620008783013</x:v>
      </x:c>
      <x:c r="E4" s="49" t="n">
        <x:v>7.600577785225056</x:v>
      </x:c>
      <x:c r="F4" s="49" t="n">
        <x:v>2.9840422235579567</x:v>
      </x:c>
      <x:c r="G4" s="49" t="n">
        <x:v>1.4494595459648878</x:v>
      </x:c>
      <x:c r="H4" s="49" t="n">
        <x:v>4.5666272666459236</x:v>
      </x:c>
      <x:c r="I4" s="51" t="n">
        <x:v>1</x:v>
      </x:c>
      <x:c r="J4" s="47" t="n">
        <x:v>2000</x:v>
      </x:c>
      <x:c r="K4" s="47" t="str">
        <x:v>model_split_group</x:v>
      </x:c>
      <x:c r="L4" s="47" t="str">
        <x:v>TabPFN improvement supported</x:v>
      </x:c>
    </x:row>
    <x:row r="5">
      <x:c r="A5" s="48" t="str">
        <x:v>continuous</x:v>
      </x:c>
      <x:c r="B5" s="48" t="str">
        <x:v>RMSE</x:v>
      </x:c>
      <x:c r="C5" s="48" t="str">
        <x:v>Lower</x:v>
      </x:c>
      <x:c r="D5" s="50" t="n">
        <x:v>15.142227305900116</x:v>
      </x:c>
      <x:c r="E5" s="50" t="n">
        <x:v>12.774754289302521</x:v>
      </x:c>
      <x:c r="F5" s="50" t="n">
        <x:v>2.367473016597595</x:v>
      </x:c>
      <x:c r="G5" s="50" t="n">
        <x:v>0.36318799993574563</x:v>
      </x:c>
      <x:c r="H5" s="50" t="n">
        <x:v>4.5221917436234085</x:v>
      </x:c>
      <x:c r="I5" s="52" t="n">
        <x:v>0.9925</x:v>
      </x:c>
      <x:c r="J5" s="48" t="n">
        <x:v>2000</x:v>
      </x:c>
      <x:c r="K5" s="48" t="str">
        <x:v>model_split_group</x:v>
      </x:c>
      <x:c r="L5" s="48" t="str">
        <x:v>TabPFN improvement supported</x:v>
      </x:c>
    </x:row>
    <x:row r="6">
      <x:c r="A6" s="48" t="str">
        <x:v>continuous</x:v>
      </x:c>
      <x:c r="B6" s="48" t="str">
        <x:v>R2</x:v>
      </x:c>
      <x:c r="C6" s="48" t="str">
        <x:v>Higher</x:v>
      </x:c>
      <x:c r="D6" s="50" t="n">
        <x:v>0.4612864056583219</x:v>
      </x:c>
      <x:c r="E6" s="50" t="n">
        <x:v>0.6165722652876571</x:v>
      </x:c>
      <x:c r="F6" s="50" t="n">
        <x:v>0.15528585962933517</x:v>
      </x:c>
      <x:c r="G6" s="50" t="n">
        <x:v>0.021148690586245945</x:v>
      </x:c>
      <x:c r="H6" s="50" t="n">
        <x:v>0.4308804056431696</x:v>
      </x:c>
      <x:c r="I6" s="52" t="n">
        <x:v>0.9925</x:v>
      </x:c>
      <x:c r="J6" s="48" t="n">
        <x:v>2000</x:v>
      </x:c>
      <x:c r="K6" s="48" t="str">
        <x:v>model_split_group</x:v>
      </x:c>
      <x:c r="L6" s="48" t="str">
        <x:v>TabPFN improvement supported</x:v>
      </x:c>
    </x:row>
    <x:row r="7">
      <x:c r="A7" s="48" t="str">
        <x:v>binary</x:v>
      </x:c>
      <x:c r="B7" s="48" t="str">
        <x:v>ROC_AUC</x:v>
      </x:c>
      <x:c r="C7" s="48" t="str">
        <x:v>Higher</x:v>
      </x:c>
      <x:c r="D7" s="50" t="n">
        <x:v>0.8551323162634016</x:v>
      </x:c>
      <x:c r="E7" s="50" t="n">
        <x:v>0.8871343892721795</x:v>
      </x:c>
      <x:c r="F7" s="50" t="n">
        <x:v>0.03200207300877789</x:v>
      </x:c>
      <x:c r="G7" s="50" t="n">
        <x:v>-0.006675737159359903</x:v>
      </x:c>
      <x:c r="H7" s="50" t="n">
        <x:v>0.08214334245802368</x:v>
      </x:c>
      <x:c r="I7" s="52" t="n">
        <x:v>0.95</x:v>
      </x:c>
      <x:c r="J7" s="48" t="n">
        <x:v>2000</x:v>
      </x:c>
      <x:c r="K7" s="48" t="str">
        <x:v>model_split_group</x:v>
      </x:c>
      <x:c r="L7" s="48" t="str">
        <x:v>Difference uncertain</x:v>
      </x:c>
    </x:row>
    <x:row r="8">
      <x:c r="A8" s="48" t="str">
        <x:v>binary</x:v>
      </x:c>
      <x:c r="B8" s="48" t="str">
        <x:v>PR_AUC</x:v>
      </x:c>
      <x:c r="C8" s="48" t="str">
        <x:v>Higher</x:v>
      </x:c>
      <x:c r="D8" s="50" t="n">
        <x:v>0.767987874672056</x:v>
      </x:c>
      <x:c r="E8" s="50" t="n">
        <x:v>0.7902824826403023</x:v>
      </x:c>
      <x:c r="F8" s="50" t="n">
        <x:v>0.02229460796824634</x:v>
      </x:c>
      <x:c r="G8" s="50" t="n">
        <x:v>-0.032730540854760216</x:v>
      </x:c>
      <x:c r="H8" s="50" t="n">
        <x:v>0.0776126216532132</x:v>
      </x:c>
      <x:c r="I8" s="52" t="n">
        <x:v>0.7865</x:v>
      </x:c>
      <x:c r="J8" s="48" t="n">
        <x:v>2000</x:v>
      </x:c>
      <x:c r="K8" s="48" t="str">
        <x:v>model_split_group</x:v>
      </x:c>
      <x:c r="L8" s="48" t="str">
        <x:v>Difference uncertain</x:v>
      </x:c>
    </x:row>
    <x:row r="9">
      <x:c r="A9" s="48" t="str">
        <x:v>binary</x:v>
      </x:c>
      <x:c r="B9" s="48" t="str">
        <x:v>F1</x:v>
      </x:c>
      <x:c r="C9" s="48" t="str">
        <x:v>Higher</x:v>
      </x:c>
      <x:c r="D9" s="50" t="n">
        <x:v>0.7012987012987013</x:v>
      </x:c>
      <x:c r="E9" s="50" t="n">
        <x:v>0.6728110599078341</x:v>
      </x:c>
      <x:c r="F9" s="50" t="n">
        <x:v>-0.028487641390867235</x:v>
      </x:c>
      <x:c r="G9" s="50" t="n">
        <x:v>-0.08779991770162296</x:v>
      </x:c>
      <x:c r="H9" s="50" t="n">
        <x:v>0.01917668154328598</x:v>
      </x:c>
      <x:c r="I9" s="52" t="n">
        <x:v>0.1345</x:v>
      </x:c>
      <x:c r="J9" s="48" t="n">
        <x:v>2000</x:v>
      </x:c>
      <x:c r="K9" s="48" t="str">
        <x:v>model_split_group</x:v>
      </x:c>
      <x:c r="L9" s="48" t="str">
        <x:v>Difference uncertain</x:v>
      </x:c>
    </x:row>
    <x:row r="10">
      <x:c r="A10" s="48" t="str">
        <x:v>binary</x:v>
      </x:c>
      <x:c r="B10" s="48" t="str">
        <x:v>Balanced_Accuracy</x:v>
      </x:c>
      <x:c r="C10" s="48" t="str">
        <x:v>Higher</x:v>
      </x:c>
      <x:c r="D10" s="50" t="n">
        <x:v>0.7754834321251579</x:v>
      </x:c>
      <x:c r="E10" s="50" t="n">
        <x:v>0.7549152981569656</x:v>
      </x:c>
      <x:c r="F10" s="50" t="n">
        <x:v>-0.020568133968192348</x:v>
      </x:c>
      <x:c r="G10" s="50" t="n">
        <x:v>-0.05648066857242094</x:v>
      </x:c>
      <x:c r="H10" s="50" t="n">
        <x:v>0.011230335853327772</x:v>
      </x:c>
      <x:c r="I10" s="52" t="n">
        <x:v>0.1175</x:v>
      </x:c>
      <x:c r="J10" s="48" t="n">
        <x:v>2000</x:v>
      </x:c>
      <x:c r="K10" s="48" t="str">
        <x:v>model_split_group</x:v>
      </x:c>
      <x:c r="L10" s="48" t="str">
        <x:v>Difference uncertain</x:v>
      </x:c>
    </x:row>
    <x:row r="11">
      <x:c r="A11" s="48" t="str">
        <x:v>binary</x:v>
      </x:c>
      <x:c r="B11" s="48" t="str">
        <x:v>Brier</x:v>
      </x:c>
      <x:c r="C11" s="48" t="str">
        <x:v>Lower</x:v>
      </x:c>
      <x:c r="D11" s="50" t="n">
        <x:v>0.15865619992733856</x:v>
      </x:c>
      <x:c r="E11" s="50" t="n">
        <x:v>0.12816310610832324</x:v>
      </x:c>
      <x:c r="F11" s="50" t="n">
        <x:v>0.030493093819015327</x:v>
      </x:c>
      <x:c r="G11" s="50" t="n">
        <x:v>0.009229333738322257</x:v>
      </x:c>
      <x:c r="H11" s="50" t="n">
        <x:v>0.050436312160933826</x:v>
      </x:c>
      <x:c r="I11" s="52" t="n">
        <x:v>0.995</x:v>
      </x:c>
      <x:c r="J11" s="48" t="n">
        <x:v>2000</x:v>
      </x:c>
      <x:c r="K11" s="48" t="str">
        <x:v>model_split_group</x:v>
      </x:c>
      <x:c r="L11" s="48" t="str">
        <x:v>TabPFN improvement supported</x:v>
      </x:c>
    </x:row>
    <x:row r="12">
      <x:c r="A12" s="48" t="str">
        <x:v>binary</x:v>
      </x:c>
      <x:c r="B12" s="48" t="str">
        <x:v>Log_Loss</x:v>
      </x:c>
      <x:c r="C12" s="48" t="str">
        <x:v>Lower</x:v>
      </x:c>
      <x:c r="D12" s="50" t="n">
        <x:v>0.49362843922497623</x:v>
      </x:c>
      <x:c r="E12" s="50" t="n">
        <x:v>0.40786918247322224</x:v>
      </x:c>
      <x:c r="F12" s="50" t="n">
        <x:v>0.085759256751754</x:v>
      </x:c>
      <x:c r="G12" s="50" t="n">
        <x:v>0.030103941510271383</x:v>
      </x:c>
      <x:c r="H12" s="50" t="n">
        <x:v>0.13791148130305977</x:v>
      </x:c>
      <x:c r="I12" s="52" t="n">
        <x:v>0.997</x:v>
      </x:c>
      <x:c r="J12" s="48" t="n">
        <x:v>2000</x:v>
      </x:c>
      <x:c r="K12" s="48" t="str">
        <x:v>model_split_group</x:v>
      </x:c>
      <x:c r="L12" s="48" t="str">
        <x:v>TabPFN improvement supported</x:v>
      </x:c>
    </x:row>
  </x:sheetData>
  <x:mergeCells>
    <x:mergeCell ref="A1:L1"/>
    <x:mergeCell ref="A2:L2"/>
  </x:mergeCells>
  <x:conditionalFormatting sqref="L4:L12">
    <x:cfRule type="containsText" dxfId="4" priority="1" operator="containsText" text="supported"/>
    <x:cfRule type="containsText" dxfId="5" priority="2" operator="containsText" text="uncertain"/>
  </x:conditionalFormatting>
  <x:pageMargins left="0.7" right="0.7" top="0.75" bottom="0.75" header="0.3" footer="0.3"/>
  <x:tableParts count="1">
    <x:tablePart xmlns:r="http://schemas.openxmlformats.org/officeDocument/2006/relationships" r:id="Rd874006b236b4ac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1" hidden="0" customWidth="1"/>
    <x:col min="3" max="3" width="18" hidden="0" customWidth="1"/>
    <x:col min="4" max="4" width="18" hidden="0" customWidth="1"/>
    <x:col min="5" max="5" width="11" hidden="0" customWidth="1"/>
    <x:col min="6" max="6" width="36" hidden="0" customWidth="1"/>
  </x:cols>
  <x:sheetData>
    <x:row r="1" ht="32" customHeight="1">
      <x:c r="A1" s="4" t="str">
        <x:v>TabPFN-3 Test-Set Permutation Importance</x:v>
      </x:c>
      <x:c r="B1" s="4" t="str">
        <x:v>TabPFN-3 Test-Set Permutation Importance</x:v>
      </x:c>
      <x:c r="C1" s="4" t="str">
        <x:v>TabPFN-3 Test-Set Permutation Importance</x:v>
      </x:c>
      <x:c r="D1" s="4" t="str">
        <x:v>TabPFN-3 Test-Set Permutation Importance</x:v>
      </x:c>
      <x:c r="E1" s="4" t="str">
        <x:v>TabPFN-3 Test-Set Permutation Importance</x:v>
      </x:c>
      <x:c r="F1" s="4" t="str">
        <x:v>TabPFN-3 Test-Set Permutation Importance</x:v>
      </x:c>
    </x:row>
    <x:row r="2" ht="28" customHeight="1">
      <x:c r="A2" s="8" t="str">
        <x:v>Continuous: increase in MAE after permutation. Binary: decrease in ROC-AUC. Positive values indicate predictive contribution, not causality.</x:v>
      </x:c>
      <x:c r="B2" s="8" t="str">
        <x:v>Continuous: increase in MAE after permutation. Binary: decrease in ROC-AUC. Positive values indicate predictive contribution, not causality.</x:v>
      </x:c>
      <x:c r="C2" s="8" t="str">
        <x:v>Continuous: increase in MAE after permutation. Binary: decrease in ROC-AUC. Positive values indicate predictive contribution, not causality.</x:v>
      </x:c>
      <x:c r="D2" s="8" t="str">
        <x:v>Continuous: increase in MAE after permutation. Binary: decrease in ROC-AUC. Positive values indicate predictive contribution, not causality.</x:v>
      </x:c>
      <x:c r="E2" s="8" t="str">
        <x:v>Continuous: increase in MAE after permutation. Binary: decrease in ROC-AUC. Positive values indicate predictive contribution, not causality.</x:v>
      </x:c>
      <x:c r="F2" s="8" t="str">
        <x:v>Continuous: increase in MAE after permutation. Binary: decrease in ROC-AUC. Positive values indicate predictive contribution, not causality.</x:v>
      </x:c>
    </x:row>
    <x:row r="3" ht="30" customHeight="1">
      <x:c r="A3" s="41" t="str">
        <x:v>Outcome</x:v>
      </x:c>
      <x:c r="B3" s="42" t="str">
        <x:v>Feature</x:v>
      </x:c>
      <x:c r="C3" s="42" t="str">
        <x:v>Importance mean</x:v>
      </x:c>
      <x:c r="D3" s="42" t="str">
        <x:v>Importance SD</x:v>
      </x:c>
      <x:c r="E3" s="42" t="str">
        <x:v>Repeats</x:v>
      </x:c>
      <x:c r="F3" s="43" t="str">
        <x:v>Definition</x:v>
      </x:c>
    </x:row>
    <x:row r="4">
      <x:c r="A4" s="47" t="str">
        <x:v>continuous</x:v>
      </x:c>
      <x:c r="B4" s="47" t="str">
        <x:v>antibody_backbone_clean</x:v>
      </x:c>
      <x:c r="C4" s="49" t="n">
        <x:v>1.077974314392917</x:v>
      </x:c>
      <x:c r="D4" s="49" t="n">
        <x:v>0.1941851574420523</x:v>
      </x:c>
      <x:c r="E4" s="47" t="n">
        <x:v>3</x:v>
      </x:c>
      <x:c r="F4" s="47" t="str">
        <x:v>increase in MAE after permutation</x:v>
      </x:c>
    </x:row>
    <x:row r="5">
      <x:c r="A5" s="48" t="str">
        <x:v>continuous</x:v>
      </x:c>
      <x:c r="B5" s="48" t="str">
        <x:v>target_group</x:v>
      </x:c>
      <x:c r="C5" s="50" t="n">
        <x:v>1.0544592921489415</x:v>
      </x:c>
      <x:c r="D5" s="50" t="n">
        <x:v>0.2874498792736749</x:v>
      </x:c>
      <x:c r="E5" s="48" t="n">
        <x:v>3</x:v>
      </x:c>
      <x:c r="F5" s="48" t="str">
        <x:v>increase in MAE after permutation</x:v>
      </x:c>
    </x:row>
    <x:row r="6">
      <x:c r="A6" s="48" t="str">
        <x:v>continuous</x:v>
      </x:c>
      <x:c r="B6" s="48" t="str">
        <x:v>therapeutic_comparator</x:v>
      </x:c>
      <x:c r="C6" s="50" t="n">
        <x:v>1.020557392718775</x:v>
      </x:c>
      <x:c r="D6" s="50" t="n">
        <x:v>0.2246328991291425</x:v>
      </x:c>
      <x:c r="E6" s="48" t="n">
        <x:v>3</x:v>
      </x:c>
      <x:c r="F6" s="48" t="str">
        <x:v>increase in MAE after permutation</x:v>
      </x:c>
    </x:row>
    <x:row r="7">
      <x:c r="A7" s="48" t="str">
        <x:v>continuous</x:v>
      </x:c>
      <x:c r="B7" s="48" t="str">
        <x:v>log_n_ada_assessed</x:v>
      </x:c>
      <x:c r="C7" s="50" t="n">
        <x:v>0.9764543148341414</x:v>
      </x:c>
      <x:c r="D7" s="50" t="n">
        <x:v>0.1753434778188566</x:v>
      </x:c>
      <x:c r="E7" s="48" t="n">
        <x:v>3</x:v>
      </x:c>
      <x:c r="F7" s="48" t="str">
        <x:v>increase in MAE after permutation</x:v>
      </x:c>
    </x:row>
    <x:row r="8">
      <x:c r="A8" s="48" t="str">
        <x:v>continuous</x:v>
      </x:c>
      <x:c r="B8" s="48" t="str">
        <x:v>moa_group</x:v>
      </x:c>
      <x:c r="C8" s="50" t="n">
        <x:v>0.7535870311165596</x:v>
      </x:c>
      <x:c r="D8" s="50" t="n">
        <x:v>0.1552513967557965</x:v>
      </x:c>
      <x:c r="E8" s="48" t="n">
        <x:v>3</x:v>
      </x:c>
      <x:c r="F8" s="48" t="str">
        <x:v>increase in MAE after permutation</x:v>
      </x:c>
    </x:row>
    <x:row r="9">
      <x:c r="A9" s="48" t="str">
        <x:v>continuous</x:v>
      </x:c>
      <x:c r="B9" s="48" t="str">
        <x:v>log_assessment_days</x:v>
      </x:c>
      <x:c r="C9" s="50" t="n">
        <x:v>0.7258880559888249</x:v>
      </x:c>
      <x:c r="D9" s="50" t="n">
        <x:v>0.2344498303026459</x:v>
      </x:c>
      <x:c r="E9" s="48" t="n">
        <x:v>3</x:v>
      </x:c>
      <x:c r="F9" s="48" t="str">
        <x:v>increase in MAE after permutation</x:v>
      </x:c>
    </x:row>
    <x:row r="10">
      <x:c r="A10" s="48" t="str">
        <x:v>continuous</x:v>
      </x:c>
      <x:c r="B10" s="48" t="str">
        <x:v>max_chain_length</x:v>
      </x:c>
      <x:c r="C10" s="50" t="n">
        <x:v>0.6715523412170192</x:v>
      </x:c>
      <x:c r="D10" s="50" t="n">
        <x:v>0.2888672931956769</x:v>
      </x:c>
      <x:c r="E10" s="48" t="n">
        <x:v>3</x:v>
      </x:c>
      <x:c r="F10" s="48" t="str">
        <x:v>increase in MAE after permutation</x:v>
      </x:c>
    </x:row>
    <x:row r="11">
      <x:c r="A11" s="48" t="str">
        <x:v>continuous</x:v>
      </x:c>
      <x:c r="B11" s="48" t="str">
        <x:v>randomized_or_not</x:v>
      </x:c>
      <x:c r="C11" s="50" t="n">
        <x:v>0.6159129958995591</x:v>
      </x:c>
      <x:c r="D11" s="50" t="n">
        <x:v>0.233124693635273</x:v>
      </x:c>
      <x:c r="E11" s="48" t="n">
        <x:v>3</x:v>
      </x:c>
      <x:c r="F11" s="48" t="str">
        <x:v>increase in MAE after permutation</x:v>
      </x:c>
    </x:row>
    <x:row r="12">
      <x:c r="A12" s="48" t="str">
        <x:v>continuous</x:v>
      </x:c>
      <x:c r="B12" s="48" t="str">
        <x:v>ada_assay_platform</x:v>
      </x:c>
      <x:c r="C12" s="50" t="n">
        <x:v>0.5811277975917886</x:v>
      </x:c>
      <x:c r="D12" s="50" t="n">
        <x:v>0.0279212348727361</x:v>
      </x:c>
      <x:c r="E12" s="48" t="n">
        <x:v>3</x:v>
      </x:c>
      <x:c r="F12" s="48" t="str">
        <x:v>increase in MAE after permutation</x:v>
      </x:c>
    </x:row>
    <x:row r="13">
      <x:c r="A13" s="48" t="str">
        <x:v>continuous</x:v>
      </x:c>
      <x:c r="B13" s="48" t="str">
        <x:v>trial_blinding</x:v>
      </x:c>
      <x:c r="C13" s="50" t="n">
        <x:v>0.4980812817557766</x:v>
      </x:c>
      <x:c r="D13" s="50" t="n">
        <x:v>0.197031383913823</x:v>
      </x:c>
      <x:c r="E13" s="48" t="n">
        <x:v>3</x:v>
      </x:c>
      <x:c r="F13" s="48" t="str">
        <x:v>increase in MAE after permutation</x:v>
      </x:c>
    </x:row>
    <x:row r="14">
      <x:c r="A14" s="48" t="str">
        <x:v>continuous</x:v>
      </x:c>
      <x:c r="B14" s="48" t="str">
        <x:v>route_clean</x:v>
      </x:c>
      <x:c r="C14" s="50" t="n">
        <x:v>0.4828821675040231</x:v>
      </x:c>
      <x:c r="D14" s="50" t="n">
        <x:v>0.2084681253954962</x:v>
      </x:c>
      <x:c r="E14" s="48" t="n">
        <x:v>3</x:v>
      </x:c>
      <x:c r="F14" s="48" t="str">
        <x:v>increase in MAE after permutation</x:v>
      </x:c>
    </x:row>
    <x:row r="15">
      <x:c r="A15" s="48" t="str">
        <x:v>continuous</x:v>
      </x:c>
      <x:c r="B15" s="48" t="str">
        <x:v>disease_category_clean</x:v>
      </x:c>
      <x:c r="C15" s="50" t="n">
        <x:v>0.4433533683525628</x:v>
      </x:c>
      <x:c r="D15" s="50" t="n">
        <x:v>0.0317865401651577</x:v>
      </x:c>
      <x:c r="E15" s="48" t="n">
        <x:v>3</x:v>
      </x:c>
      <x:c r="F15" s="48" t="str">
        <x:v>increase in MAE after permutation</x:v>
      </x:c>
    </x:row>
    <x:row r="16">
      <x:c r="A16" s="48" t="str">
        <x:v>continuous</x:v>
      </x:c>
      <x:c r="B16" s="48" t="str">
        <x:v>log_total_sequence_length</x:v>
      </x:c>
      <x:c r="C16" s="50" t="n">
        <x:v>0.3916852145886149</x:v>
      </x:c>
      <x:c r="D16" s="50" t="n">
        <x:v>0.054806933110879</x:v>
      </x:c>
      <x:c r="E16" s="48" t="n">
        <x:v>3</x:v>
      </x:c>
      <x:c r="F16" s="48" t="str">
        <x:v>increase in MAE after permutation</x:v>
      </x:c>
    </x:row>
    <x:row r="17">
      <x:c r="A17" s="48" t="str">
        <x:v>continuous</x:v>
      </x:c>
      <x:c r="B17" s="48" t="str">
        <x:v>light_chain_clean</x:v>
      </x:c>
      <x:c r="C17" s="50" t="n">
        <x:v>0.358389986946683</x:v>
      </x:c>
      <x:c r="D17" s="50" t="n">
        <x:v>0.0465759155505129</x:v>
      </x:c>
      <x:c r="E17" s="48" t="n">
        <x:v>3</x:v>
      </x:c>
      <x:c r="F17" s="48" t="str">
        <x:v>increase in MAE after permutation</x:v>
      </x:c>
    </x:row>
    <x:row r="18">
      <x:c r="A18" s="48" t="str">
        <x:v>continuous</x:v>
      </x:c>
      <x:c r="B18" s="48" t="str">
        <x:v>species</x:v>
      </x:c>
      <x:c r="C18" s="50" t="n">
        <x:v>0.3566697387633596</x:v>
      </x:c>
      <x:c r="D18" s="50" t="n">
        <x:v>0.1980922149810769</x:v>
      </x:c>
      <x:c r="E18" s="48" t="n">
        <x:v>3</x:v>
      </x:c>
      <x:c r="F18" s="48" t="str">
        <x:v>increase in MAE after permutation</x:v>
      </x:c>
    </x:row>
    <x:row r="19">
      <x:c r="A19" s="48" t="str">
        <x:v>continuous</x:v>
      </x:c>
      <x:c r="B19" s="48" t="str">
        <x:v>ada_assay_sensitivity_missing</x:v>
      </x:c>
      <x:c r="C19" s="50" t="n">
        <x:v>0.1880886116534762</x:v>
      </x:c>
      <x:c r="D19" s="50" t="n">
        <x:v>0.066322220178408</x:v>
      </x:c>
      <x:c r="E19" s="48" t="n">
        <x:v>3</x:v>
      </x:c>
      <x:c r="F19" s="48" t="str">
        <x:v>increase in MAE after permutation</x:v>
      </x:c>
    </x:row>
    <x:row r="20">
      <x:c r="A20" s="48" t="str">
        <x:v>continuous</x:v>
      </x:c>
      <x:c r="B20" s="48" t="str">
        <x:v>ada_assay_missing</x:v>
      </x:c>
      <x:c r="C20" s="50" t="n">
        <x:v>0.1625050556849142</x:v>
      </x:c>
      <x:c r="D20" s="50" t="n">
        <x:v>0.0756797332336118</x:v>
      </x:c>
      <x:c r="E20" s="48" t="n">
        <x:v>3</x:v>
      </x:c>
      <x:c r="F20" s="48" t="str">
        <x:v>increase in MAE after permutation</x:v>
      </x:c>
    </x:row>
    <x:row r="21">
      <x:c r="A21" s="48" t="str">
        <x:v>continuous</x:v>
      </x:c>
      <x:c r="B21" s="48" t="str">
        <x:v>sequence_verified</x:v>
      </x:c>
      <x:c r="C21" s="50" t="n">
        <x:v>0.1311722799054629</x:v>
      </x:c>
      <x:c r="D21" s="50" t="n">
        <x:v>0.0681473018706826</x:v>
      </x:c>
      <x:c r="E21" s="48" t="n">
        <x:v>3</x:v>
      </x:c>
      <x:c r="F21" s="48" t="str">
        <x:v>increase in MAE after permutation</x:v>
      </x:c>
    </x:row>
    <x:row r="22">
      <x:c r="A22" s="48" t="str">
        <x:v>continuous</x:v>
      </x:c>
      <x:c r="B22" s="48" t="str">
        <x:v>log_dose_mg_extracted</x:v>
      </x:c>
      <x:c r="C22" s="50" t="n">
        <x:v>0.1103351361101282</x:v>
      </x:c>
      <x:c r="D22" s="50" t="n">
        <x:v>0.0453665894321795</x:v>
      </x:c>
      <x:c r="E22" s="48" t="n">
        <x:v>3</x:v>
      </x:c>
      <x:c r="F22" s="48" t="str">
        <x:v>increase in MAE after permutation</x:v>
      </x:c>
    </x:row>
    <x:row r="23">
      <x:c r="A23" s="48" t="str">
        <x:v>continuous</x:v>
      </x:c>
      <x:c r="B23" s="48" t="str">
        <x:v>prospective_or_retrospective</x:v>
      </x:c>
      <x:c r="C23" s="50" t="n">
        <x:v>0.1070210132763428</x:v>
      </x:c>
      <x:c r="D23" s="50" t="n">
        <x:v>0.1325253281626987</x:v>
      </x:c>
      <x:c r="E23" s="48" t="n">
        <x:v>3</x:v>
      </x:c>
      <x:c r="F23" s="48" t="str">
        <x:v>increase in MAE after permutation</x:v>
      </x:c>
    </x:row>
    <x:row r="24">
      <x:c r="A24" s="48" t="str">
        <x:v>continuous</x:v>
      </x:c>
      <x:c r="B24" s="48" t="str">
        <x:v>conjugate_modification_clean</x:v>
      </x:c>
      <x:c r="C24" s="50" t="n">
        <x:v>0.1003593885445729</x:v>
      </x:c>
      <x:c r="D24" s="50" t="n">
        <x:v>0.0188515962123587</x:v>
      </x:c>
      <x:c r="E24" s="48" t="n">
        <x:v>3</x:v>
      </x:c>
      <x:c r="F24" s="48" t="str">
        <x:v>increase in MAE after permutation</x:v>
      </x:c>
    </x:row>
    <x:row r="25">
      <x:c r="A25" s="48" t="str">
        <x:v>continuous</x:v>
      </x:c>
      <x:c r="B25" s="48" t="str">
        <x:v>protein_modality</x:v>
      </x:c>
      <x:c r="C25" s="50" t="n">
        <x:v>0.089774453888969</x:v>
      </x:c>
      <x:c r="D25" s="50" t="n">
        <x:v>0.0942039426614836</x:v>
      </x:c>
      <x:c r="E25" s="48" t="n">
        <x:v>3</x:v>
      </x:c>
      <x:c r="F25" s="48" t="str">
        <x:v>increase in MAE after permutation</x:v>
      </x:c>
    </x:row>
    <x:row r="26">
      <x:c r="A26" s="48" t="str">
        <x:v>continuous</x:v>
      </x:c>
      <x:c r="B26" s="48" t="str">
        <x:v>dose_mg_missing</x:v>
      </x:c>
      <x:c r="C26" s="50" t="n">
        <x:v>0.0890120198571334</x:v>
      </x:c>
      <x:c r="D26" s="50" t="n">
        <x:v>0.1091676841964458</x:v>
      </x:c>
      <x:c r="E26" s="48" t="n">
        <x:v>3</x:v>
      </x:c>
      <x:c r="F26" s="48" t="str">
        <x:v>increase in MAE after permutation</x:v>
      </x:c>
    </x:row>
    <x:row r="27">
      <x:c r="A27" s="48" t="str">
        <x:v>continuous</x:v>
      </x:c>
      <x:c r="B27" s="48" t="str">
        <x:v>sequence_available</x:v>
      </x:c>
      <x:c r="C27" s="50" t="n">
        <x:v>0.0740637214748301</x:v>
      </x:c>
      <x:c r="D27" s="50" t="n">
        <x:v>0.0481850935869272</x:v>
      </x:c>
      <x:c r="E27" s="48" t="n">
        <x:v>3</x:v>
      </x:c>
      <x:c r="F27" s="48" t="str">
        <x:v>increase in MAE after permutation</x:v>
      </x:c>
    </x:row>
    <x:row r="28">
      <x:c r="A28" s="48" t="str">
        <x:v>continuous</x:v>
      </x:c>
      <x:c r="B28" s="48" t="str">
        <x:v>labelled_as_biosimilar</x:v>
      </x:c>
      <x:c r="C28" s="50" t="n">
        <x:v>0.0683882672325904</x:v>
      </x:c>
      <x:c r="D28" s="50" t="n">
        <x:v>0.0377038497793492</x:v>
      </x:c>
      <x:c r="E28" s="48" t="n">
        <x:v>3</x:v>
      </x:c>
      <x:c r="F28" s="48" t="str">
        <x:v>increase in MAE after permutation</x:v>
      </x:c>
    </x:row>
    <x:row r="29">
      <x:c r="A29" s="48" t="str">
        <x:v>continuous</x:v>
      </x:c>
      <x:c r="B29" s="48" t="str">
        <x:v>n_unique_sequences</x:v>
      </x:c>
      <x:c r="C29" s="50" t="n">
        <x:v>0.0662399632604827</x:v>
      </x:c>
      <x:c r="D29" s="50" t="n">
        <x:v>0.0235215655393216</x:v>
      </x:c>
      <x:c r="E29" s="48" t="n">
        <x:v>3</x:v>
      </x:c>
      <x:c r="F29" s="48" t="str">
        <x:v>increase in MAE after permutation</x:v>
      </x:c>
    </x:row>
    <x:row r="30">
      <x:c r="A30" s="48" t="str">
        <x:v>continuous</x:v>
      </x:c>
      <x:c r="B30" s="48" t="str">
        <x:v>n_sequence_chains</x:v>
      </x:c>
      <x:c r="C30" s="50" t="n">
        <x:v>0.0389539228902506</x:v>
      </x:c>
      <x:c r="D30" s="50" t="n">
        <x:v>0.0179854792544913</x:v>
      </x:c>
      <x:c r="E30" s="48" t="n">
        <x:v>3</x:v>
      </x:c>
      <x:c r="F30" s="48" t="str">
        <x:v>increase in MAE after permutation</x:v>
      </x:c>
    </x:row>
    <x:row r="31">
      <x:c r="A31" s="48" t="str">
        <x:v>continuous</x:v>
      </x:c>
      <x:c r="B31" s="48" t="str">
        <x:v>has_coadministered_drugs</x:v>
      </x:c>
      <x:c r="C31" s="50" t="n">
        <x:v>-0.0496032953663908</x:v>
      </x:c>
      <x:c r="D31" s="50" t="n">
        <x:v>0.0911275801223634</x:v>
      </x:c>
      <x:c r="E31" s="48" t="n">
        <x:v>3</x:v>
      </x:c>
      <x:c r="F31" s="48" t="str">
        <x:v>increase in MAE after permutation</x:v>
      </x:c>
    </x:row>
    <x:row r="32">
      <x:c r="A32" s="48" t="str">
        <x:v>continuous</x:v>
      </x:c>
      <x:c r="B32" s="48" t="str">
        <x:v>comedication_missing</x:v>
      </x:c>
      <x:c r="C32" s="50" t="n">
        <x:v>-0.0790755475050189</x:v>
      </x:c>
      <x:c r="D32" s="50" t="n">
        <x:v>0.0855750095127361</x:v>
      </x:c>
      <x:c r="E32" s="48" t="n">
        <x:v>3</x:v>
      </x:c>
      <x:c r="F32" s="48" t="str">
        <x:v>increase in MAE after permutation</x:v>
      </x:c>
    </x:row>
    <x:row r="33">
      <x:c r="A33" s="48" t="str">
        <x:v>binary</x:v>
      </x:c>
      <x:c r="B33" s="48" t="str">
        <x:v>log_total_sequence_length</x:v>
      </x:c>
      <x:c r="C33" s="50" t="n">
        <x:v>0.05625195694188</x:v>
      </x:c>
      <x:c r="D33" s="50" t="n">
        <x:v>0.0094377578682957</x:v>
      </x:c>
      <x:c r="E33" s="48" t="n">
        <x:v>3</x:v>
      </x:c>
      <x:c r="F33" s="48" t="str">
        <x:v>decrease in ROC-AUC after permutation</x:v>
      </x:c>
    </x:row>
    <x:row r="34">
      <x:c r="A34" s="48" t="str">
        <x:v>binary</x:v>
      </x:c>
      <x:c r="B34" s="48" t="str">
        <x:v>log_n_ada_assessed</x:v>
      </x:c>
      <x:c r="C34" s="50" t="n">
        <x:v>0.0514203349204805</x:v>
      </x:c>
      <x:c r="D34" s="50" t="n">
        <x:v>0.0134387316540877</x:v>
      </x:c>
      <x:c r="E34" s="48" t="n">
        <x:v>3</x:v>
      </x:c>
      <x:c r="F34" s="48" t="str">
        <x:v>decrease in ROC-AUC after permutation</x:v>
      </x:c>
    </x:row>
    <x:row r="35">
      <x:c r="A35" s="48" t="str">
        <x:v>binary</x:v>
      </x:c>
      <x:c r="B35" s="48" t="str">
        <x:v>route_clean</x:v>
      </x:c>
      <x:c r="C35" s="50" t="n">
        <x:v>0.0400565758645632</x:v>
      </x:c>
      <x:c r="D35" s="50" t="n">
        <x:v>0.0110210054131167</x:v>
      </x:c>
      <x:c r="E35" s="48" t="n">
        <x:v>3</x:v>
      </x:c>
      <x:c r="F35" s="48" t="str">
        <x:v>decrease in ROC-AUC after permutation</x:v>
      </x:c>
    </x:row>
    <x:row r="36">
      <x:c r="A36" s="48" t="str">
        <x:v>binary</x:v>
      </x:c>
      <x:c r="B36" s="48" t="str">
        <x:v>target_group</x:v>
      </x:c>
      <x:c r="C36" s="50" t="n">
        <x:v>0.0372115872553146</x:v>
      </x:c>
      <x:c r="D36" s="50" t="n">
        <x:v>0.0065591559953226</x:v>
      </x:c>
      <x:c r="E36" s="48" t="n">
        <x:v>3</x:v>
      </x:c>
      <x:c r="F36" s="48" t="str">
        <x:v>decrease in ROC-AUC after permutation</x:v>
      </x:c>
    </x:row>
    <x:row r="37">
      <x:c r="A37" s="48" t="str">
        <x:v>binary</x:v>
      </x:c>
      <x:c r="B37" s="48" t="str">
        <x:v>max_chain_length</x:v>
      </x:c>
      <x:c r="C37" s="50" t="n">
        <x:v>0.0294324058778435</x:v>
      </x:c>
      <x:c r="D37" s="50" t="n">
        <x:v>0.0090708641234921</x:v>
      </x:c>
      <x:c r="E37" s="48" t="n">
        <x:v>3</x:v>
      </x:c>
      <x:c r="F37" s="48" t="str">
        <x:v>decrease in ROC-AUC after permutation</x:v>
      </x:c>
    </x:row>
    <x:row r="38">
      <x:c r="A38" s="48" t="str">
        <x:v>binary</x:v>
      </x:c>
      <x:c r="B38" s="48" t="str">
        <x:v>therapeutic_comparator</x:v>
      </x:c>
      <x:c r="C38" s="50" t="n">
        <x:v>0.0206761031753742</x:v>
      </x:c>
      <x:c r="D38" s="50" t="n">
        <x:v>0.0047876552414072</x:v>
      </x:c>
      <x:c r="E38" s="48" t="n">
        <x:v>3</x:v>
      </x:c>
      <x:c r="F38" s="48" t="str">
        <x:v>decrease in ROC-AUC after permutation</x:v>
      </x:c>
    </x:row>
    <x:row r="39">
      <x:c r="A39" s="48" t="str">
        <x:v>binary</x:v>
      </x:c>
      <x:c r="B39" s="48" t="str">
        <x:v>log_assessment_days</x:v>
      </x:c>
      <x:c r="C39" s="50" t="n">
        <x:v>0.0171563070212374</x:v>
      </x:c>
      <x:c r="D39" s="50" t="n">
        <x:v>0.0008065776734801</x:v>
      </x:c>
      <x:c r="E39" s="48" t="n">
        <x:v>3</x:v>
      </x:c>
      <x:c r="F39" s="48" t="str">
        <x:v>decrease in ROC-AUC after permutation</x:v>
      </x:c>
    </x:row>
    <x:row r="40">
      <x:c r="A40" s="48" t="str">
        <x:v>binary</x:v>
      </x:c>
      <x:c r="B40" s="48" t="str">
        <x:v>trial_blinding</x:v>
      </x:c>
      <x:c r="C40" s="50" t="n">
        <x:v>0.0152344551333958</x:v>
      </x:c>
      <x:c r="D40" s="50" t="n">
        <x:v>0.0058368417033858</x:v>
      </x:c>
      <x:c r="E40" s="48" t="n">
        <x:v>3</x:v>
      </x:c>
      <x:c r="F40" s="48" t="str">
        <x:v>decrease in ROC-AUC after permutation</x:v>
      </x:c>
    </x:row>
    <x:row r="41">
      <x:c r="A41" s="48" t="str">
        <x:v>binary</x:v>
      </x:c>
      <x:c r="B41" s="48" t="str">
        <x:v>randomized_or_not</x:v>
      </x:c>
      <x:c r="C41" s="50" t="n">
        <x:v>0.0150077197983133</x:v>
      </x:c>
      <x:c r="D41" s="50" t="n">
        <x:v>0.0055667210264014</x:v>
      </x:c>
      <x:c r="E41" s="48" t="n">
        <x:v>3</x:v>
      </x:c>
      <x:c r="F41" s="48" t="str">
        <x:v>decrease in ROC-AUC after permutation</x:v>
      </x:c>
    </x:row>
    <x:row r="42">
      <x:c r="A42" s="48" t="str">
        <x:v>binary</x:v>
      </x:c>
      <x:c r="B42" s="48" t="str">
        <x:v>antibody_backbone_clean</x:v>
      </x:c>
      <x:c r="C42" s="50" t="n">
        <x:v>0.0120493635215234</x:v>
      </x:c>
      <x:c r="D42" s="50" t="n">
        <x:v>0.0037783168041035</x:v>
      </x:c>
      <x:c r="E42" s="48" t="n">
        <x:v>3</x:v>
      </x:c>
      <x:c r="F42" s="48" t="str">
        <x:v>decrease in ROC-AUC after permutation</x:v>
      </x:c>
    </x:row>
    <x:row r="43">
      <x:c r="A43" s="48" t="str">
        <x:v>binary</x:v>
      </x:c>
      <x:c r="B43" s="48" t="str">
        <x:v>ada_assay_missing</x:v>
      </x:c>
      <x:c r="C43" s="50" t="n">
        <x:v>0.011666072836027</x:v>
      </x:c>
      <x:c r="D43" s="50" t="n">
        <x:v>0.00477479094075</x:v>
      </x:c>
      <x:c r="E43" s="48" t="n">
        <x:v>3</x:v>
      </x:c>
      <x:c r="F43" s="48" t="str">
        <x:v>decrease in ROC-AUC after permutation</x:v>
      </x:c>
    </x:row>
    <x:row r="44">
      <x:c r="A44" s="48" t="str">
        <x:v>binary</x:v>
      </x:c>
      <x:c r="B44" s="48" t="str">
        <x:v>ada_assay_platform</x:v>
      </x:c>
      <x:c r="C44" s="50" t="n">
        <x:v>0.0108509053218021</x:v>
      </x:c>
      <x:c r="D44" s="50" t="n">
        <x:v>0.0007905934147934</x:v>
      </x:c>
      <x:c r="E44" s="48" t="n">
        <x:v>3</x:v>
      </x:c>
      <x:c r="F44" s="48" t="str">
        <x:v>decrease in ROC-AUC after permutation</x:v>
      </x:c>
    </x:row>
    <x:row r="45">
      <x:c r="A45" s="48" t="str">
        <x:v>binary</x:v>
      </x:c>
      <x:c r="B45" s="48" t="str">
        <x:v>log_dose_mg_extracted</x:v>
      </x:c>
      <x:c r="C45" s="50" t="n">
        <x:v>0.0083298243340998</x:v>
      </x:c>
      <x:c r="D45" s="50" t="n">
        <x:v>0.0035809497682853</x:v>
      </x:c>
      <x:c r="E45" s="48" t="n">
        <x:v>3</x:v>
      </x:c>
      <x:c r="F45" s="48" t="str">
        <x:v>decrease in ROC-AUC after permutation</x:v>
      </x:c>
    </x:row>
    <x:row r="46">
      <x:c r="A46" s="48" t="str">
        <x:v>binary</x:v>
      </x:c>
      <x:c r="B46" s="48" t="str">
        <x:v>light_chain_clean</x:v>
      </x:c>
      <x:c r="C46" s="50" t="n">
        <x:v>0.0056575864563425</x:v>
      </x:c>
      <x:c r="D46" s="50" t="n">
        <x:v>0.0012582814044626</x:v>
      </x:c>
      <x:c r="E46" s="48" t="n">
        <x:v>3</x:v>
      </x:c>
      <x:c r="F46" s="48" t="str">
        <x:v>decrease in ROC-AUC after permutation</x:v>
      </x:c>
    </x:row>
    <x:row r="47">
      <x:c r="A47" s="48" t="str">
        <x:v>binary</x:v>
      </x:c>
      <x:c r="B47" s="48" t="str">
        <x:v>conjugate_modification_clean</x:v>
      </x:c>
      <x:c r="C47" s="50" t="n">
        <x:v>0.0050043727528907</x:v>
      </x:c>
      <x:c r="D47" s="50" t="n">
        <x:v>0.0022128485905418</x:v>
      </x:c>
      <x:c r="E47" s="48" t="n">
        <x:v>3</x:v>
      </x:c>
      <x:c r="F47" s="48" t="str">
        <x:v>decrease in ROC-AUC after permutation</x:v>
      </x:c>
    </x:row>
    <x:row r="48">
      <x:c r="A48" s="48" t="str">
        <x:v>binary</x:v>
      </x:c>
      <x:c r="B48" s="48" t="str">
        <x:v>prospective_or_retrospective</x:v>
      </x:c>
      <x:c r="C48" s="50" t="n">
        <x:v>0.0042269944611796</x:v>
      </x:c>
      <x:c r="D48" s="50" t="n">
        <x:v>0.0061076344407135</x:v>
      </x:c>
      <x:c r="E48" s="48" t="n">
        <x:v>3</x:v>
      </x:c>
      <x:c r="F48" s="48" t="str">
        <x:v>decrease in ROC-AUC after permutation</x:v>
      </x:c>
    </x:row>
    <x:row r="49">
      <x:c r="A49" s="48" t="str">
        <x:v>binary</x:v>
      </x:c>
      <x:c r="B49" s="48" t="str">
        <x:v>labelled_as_biosimilar</x:v>
      </x:c>
      <x:c r="C49" s="50" t="n">
        <x:v>0.0032066854533085</x:v>
      </x:c>
      <x:c r="D49" s="50" t="n">
        <x:v>0.0021741055002102</x:v>
      </x:c>
      <x:c r="E49" s="48" t="n">
        <x:v>3</x:v>
      </x:c>
      <x:c r="F49" s="48" t="str">
        <x:v>decrease in ROC-AUC after permutation</x:v>
      </x:c>
    </x:row>
    <x:row r="50">
      <x:c r="A50" s="48" t="str">
        <x:v>binary</x:v>
      </x:c>
      <x:c r="B50" s="48" t="str">
        <x:v>protein_modality</x:v>
      </x:c>
      <x:c r="C50" s="50" t="n">
        <x:v>0.0030555285632536</x:v>
      </x:c>
      <x:c r="D50" s="50" t="n">
        <x:v>0.0009817037450446</x:v>
      </x:c>
      <x:c r="E50" s="48" t="n">
        <x:v>3</x:v>
      </x:c>
      <x:c r="F50" s="48" t="str">
        <x:v>decrease in ROC-AUC after permutation</x:v>
      </x:c>
    </x:row>
    <x:row r="51">
      <x:c r="A51" s="48" t="str">
        <x:v>binary</x:v>
      </x:c>
      <x:c r="B51" s="48" t="str">
        <x:v>moa_group</x:v>
      </x:c>
      <x:c r="C51" s="50" t="n">
        <x:v>0.0025372763687794</x:v>
      </x:c>
      <x:c r="D51" s="50" t="n">
        <x:v>0.0033361436758073</x:v>
      </x:c>
      <x:c r="E51" s="48" t="n">
        <x:v>3</x:v>
      </x:c>
      <x:c r="F51" s="48" t="str">
        <x:v>decrease in ROC-AUC after permutation</x:v>
      </x:c>
    </x:row>
    <x:row r="52">
      <x:c r="A52" s="48" t="str">
        <x:v>binary</x:v>
      </x:c>
      <x:c r="B52" s="48" t="str">
        <x:v>dose_mg_missing</x:v>
      </x:c>
      <x:c r="C52" s="50" t="n">
        <x:v>0.0019920318725098</x:v>
      </x:c>
      <x:c r="D52" s="50" t="n">
        <x:v>0.0004890897829994</x:v>
      </x:c>
      <x:c r="E52" s="48" t="n">
        <x:v>3</x:v>
      </x:c>
      <x:c r="F52" s="48" t="str">
        <x:v>decrease in ROC-AUC after permutation</x:v>
      </x:c>
    </x:row>
    <x:row r="53">
      <x:c r="A53" s="48" t="str">
        <x:v>binary</x:v>
      </x:c>
      <x:c r="B53" s="48" t="str">
        <x:v>sequence_verified</x:v>
      </x:c>
      <x:c r="C53" s="50" t="n">
        <x:v>0.0019704380310734</x:v>
      </x:c>
      <x:c r="D53" s="50" t="n">
        <x:v>0.002262740687343</x:v>
      </x:c>
      <x:c r="E53" s="48" t="n">
        <x:v>3</x:v>
      </x:c>
      <x:c r="F53" s="48" t="str">
        <x:v>decrease in ROC-AUC after permutation</x:v>
      </x:c>
    </x:row>
    <x:row r="54">
      <x:c r="A54" s="48" t="str">
        <x:v>binary</x:v>
      </x:c>
      <x:c r="B54" s="48" t="str">
        <x:v>sequence_available</x:v>
      </x:c>
      <x:c r="C54" s="50" t="n">
        <x:v>0.0017005150131181</x:v>
      </x:c>
      <x:c r="D54" s="50" t="n">
        <x:v>0.0007635911789671</x:v>
      </x:c>
      <x:c r="E54" s="48" t="n">
        <x:v>3</x:v>
      </x:c>
      <x:c r="F54" s="48" t="str">
        <x:v>decrease in ROC-AUC after permutation</x:v>
      </x:c>
    </x:row>
    <x:row r="55">
      <x:c r="A55" s="48" t="str">
        <x:v>binary</x:v>
      </x:c>
      <x:c r="B55" s="48" t="str">
        <x:v>species</x:v>
      </x:c>
      <x:c r="C55" s="50" t="n">
        <x:v>0.0016465304095271</x:v>
      </x:c>
      <x:c r="D55" s="50" t="n">
        <x:v>0.0086098724005535</x:v>
      </x:c>
      <x:c r="E55" s="48" t="n">
        <x:v>3</x:v>
      </x:c>
      <x:c r="F55" s="48" t="str">
        <x:v>decrease in ROC-AUC after permutation</x:v>
      </x:c>
    </x:row>
    <x:row r="56">
      <x:c r="A56" s="48" t="str">
        <x:v>binary</x:v>
      </x:c>
      <x:c r="B56" s="48" t="str">
        <x:v>n_unique_sequences</x:v>
      </x:c>
      <x:c r="C56" s="50" t="n">
        <x:v>-0.0010311059285892</x:v>
      </x:c>
      <x:c r="D56" s="50" t="n">
        <x:v>0.0016177015899257</x:v>
      </x:c>
      <x:c r="E56" s="48" t="n">
        <x:v>3</x:v>
      </x:c>
      <x:c r="F56" s="48" t="str">
        <x:v>decrease in ROC-AUC after permutation</x:v>
      </x:c>
    </x:row>
    <x:row r="57">
      <x:c r="A57" s="48" t="str">
        <x:v>binary</x:v>
      </x:c>
      <x:c r="B57" s="48" t="str">
        <x:v>comedication_missing</x:v>
      </x:c>
      <x:c r="C57" s="50" t="n">
        <x:v>-0.0010634966907439</x:v>
      </x:c>
      <x:c r="D57" s="50" t="n">
        <x:v>0.0035037588137891</x:v>
      </x:c>
      <x:c r="E57" s="48" t="n">
        <x:v>3</x:v>
      </x:c>
      <x:c r="F57" s="48" t="str">
        <x:v>decrease in ROC-AUC after permutation</x:v>
      </x:c>
    </x:row>
    <x:row r="58">
      <x:c r="A58" s="48" t="str">
        <x:v>binary</x:v>
      </x:c>
      <x:c r="B58" s="48" t="str">
        <x:v>n_sequence_chains</x:v>
      </x:c>
      <x:c r="C58" s="50" t="n">
        <x:v>-0.001840874982455</x:v>
      </x:c>
      <x:c r="D58" s="50" t="n">
        <x:v>0.0015815461996586</x:v>
      </x:c>
      <x:c r="E58" s="48" t="n">
        <x:v>3</x:v>
      </x:c>
      <x:c r="F58" s="48" t="str">
        <x:v>decrease in ROC-AUC after permutation</x:v>
      </x:c>
    </x:row>
    <x:row r="59">
      <x:c r="A59" s="48" t="str">
        <x:v>binary</x:v>
      </x:c>
      <x:c r="B59" s="48" t="str">
        <x:v>ada_assay_sensitivity_missing</x:v>
      </x:c>
      <x:c r="C59" s="50" t="n">
        <x:v>-0.0018840626653279</x:v>
      </x:c>
      <x:c r="D59" s="50" t="n">
        <x:v>0.00477075170636</x:v>
      </x:c>
      <x:c r="E59" s="48" t="n">
        <x:v>3</x:v>
      </x:c>
      <x:c r="F59" s="48" t="str">
        <x:v>decrease in ROC-AUC after permutation</x:v>
      </x:c>
    </x:row>
    <x:row r="60">
      <x:c r="A60" s="48" t="str">
        <x:v>binary</x:v>
      </x:c>
      <x:c r="B60" s="48" t="str">
        <x:v>disease_category_clean</x:v>
      </x:c>
      <x:c r="C60" s="50" t="n">
        <x:v>-0.0026722378777574</x:v>
      </x:c>
      <x:c r="D60" s="50" t="n">
        <x:v>0.0038668316516535</x:v>
      </x:c>
      <x:c r="E60" s="48" t="n">
        <x:v>3</x:v>
      </x:c>
      <x:c r="F60" s="48" t="str">
        <x:v>decrease in ROC-AUC after permutation</x:v>
      </x:c>
    </x:row>
    <x:row r="61">
      <x:c r="A61" s="48" t="str">
        <x:v>binary</x:v>
      </x:c>
      <x:c r="B61" s="48" t="str">
        <x:v>has_coadministered_drugs</x:v>
      </x:c>
      <x:c r="C61" s="50" t="n">
        <x:v>-0.0034442177091095</x:v>
      </x:c>
      <x:c r="D61" s="50" t="n">
        <x:v>0.0003244470184588</x:v>
      </x:c>
      <x:c r="E61" s="48" t="n">
        <x:v>3</x:v>
      </x:c>
      <x:c r="F61" s="48" t="str">
        <x:v>decrease in ROC-AUC after permutation</x:v>
      </x:c>
    </x:row>
  </x:sheetData>
  <x:mergeCells>
    <x:mergeCell ref="A1:F1"/>
    <x:mergeCell ref="A2:F2"/>
  </x:mergeCells>
  <x:conditionalFormatting sqref="C4:C61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{85B99D5A-F109-21BF-992C-2CEE247AB8BC}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7bb1b730063d404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5B99D5A-F109-21BF-992C-2CEE247AB8BC}">
            <x14:dataBar gradient="1">
              <x14:cfvo type="min"/>
              <x14:cfvo type="max"/>
              <x14:fillColor rgb="FF0F766E"/>
            </x14:dataBar>
          </x14:cfRule>
          <xm:sqref>C4:C61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28" hidden="0" customWidth="1"/>
    <x:col min="4" max="4" width="24" hidden="0" customWidth="1"/>
    <x:col min="5" max="5" width="24" hidden="0" customWidth="1"/>
    <x:col min="6" max="6" width="24" hidden="0" customWidth="1"/>
    <x:col min="7" max="7" width="21" hidden="0" customWidth="1"/>
    <x:col min="8" max="8" width="21" hidden="0" customWidth="1"/>
    <x:col min="9" max="9" width="21" hidden="0" customWidth="1"/>
  </x:cols>
  <x:sheetData>
    <x:row r="1" ht="32" customHeight="1">
      <x:c r="A1" s="4" t="str">
        <x:v>Sealed Test-Set TabPFN Predictions</x:v>
      </x:c>
      <x:c r="B1" s="4" t="str">
        <x:v>Sealed Test-Set TabPFN Predictions</x:v>
      </x:c>
      <x:c r="C1" s="4" t="str">
        <x:v>Sealed Test-Set TabPFN Predictions</x:v>
      </x:c>
      <x:c r="D1" s="4" t="str">
        <x:v>Sealed Test-Set TabPFN Predictions</x:v>
      </x:c>
      <x:c r="E1" s="4" t="str">
        <x:v>Sealed Test-Set TabPFN Predictions</x:v>
      </x:c>
      <x:c r="F1" s="4" t="str">
        <x:v>Sealed Test-Set TabPFN Predictions</x:v>
      </x:c>
      <x:c r="G1" s="4" t="str">
        <x:v>Sealed Test-Set TabPFN Predictions</x:v>
      </x:c>
      <x:c r="H1" s="4" t="str">
        <x:v>Sealed Test-Set TabPFN Predictions</x:v>
      </x:c>
      <x:c r="I1" s="4" t="str">
        <x:v>Sealed Test-Set TabPFN Predictions</x:v>
      </x:c>
    </x:row>
    <x:row r="2" ht="30" customHeight="1">
      <x:c r="A2" s="41" t="str">
        <x:v>IDC row ID</x:v>
      </x:c>
      <x:c r="B2" s="42" t="str">
        <x:v>Study group</x:v>
      </x:c>
      <x:c r="C2" s="42" t="str">
        <x:v>Molecule</x:v>
      </x:c>
      <x:c r="D2" s="42" t="str">
        <x:v>ADA frequency actual (%)</x:v>
      </x:c>
      <x:c r="E2" s="42" t="str">
        <x:v>TabPFN regression raw (%)</x:v>
      </x:c>
      <x:c r="F2" s="42" t="str">
        <x:v>TabPFN regression clipped (%)</x:v>
      </x:c>
      <x:c r="G2" s="42" t="str">
        <x:v>ADA &gt;=10% actual</x:v>
      </x:c>
      <x:c r="H2" s="42" t="str">
        <x:v>TabPFN probability</x:v>
      </x:c>
      <x:c r="I2" s="43" t="str">
        <x:v>TabPFN class at 0.5</x:v>
      </x:c>
    </x:row>
    <x:row r="3">
      <x:c r="A3" s="47" t="str">
        <x:v>CT0004_A1_001</x:v>
      </x:c>
      <x:c r="B3" s="47" t="str">
        <x:v>CT0004</x:v>
      </x:c>
      <x:c r="C3" s="47" t="str">
        <x:v>Alemtuzumab</x:v>
      </x:c>
      <x:c r="D3" s="72" t="n">
        <x:v>0</x:v>
      </x:c>
      <x:c r="E3" s="72" t="n">
        <x:v>24.447599411010746</x:v>
      </x:c>
      <x:c r="F3" s="72" t="n">
        <x:v>24.447599411010746</x:v>
      </x:c>
      <x:c r="G3" s="47" t="n">
        <x:v>0</x:v>
      </x:c>
      <x:c r="H3" s="49" t="n">
        <x:v>0.2127698212862014</x:v>
      </x:c>
      <x:c r="I3" s="47" t="n">
        <x:v>0</x:v>
      </x:c>
    </x:row>
    <x:row r="4">
      <x:c r="A4" s="48" t="str">
        <x:v>CT0004_A1_002</x:v>
      </x:c>
      <x:c r="B4" s="48" t="str">
        <x:v>CT0004</x:v>
      </x:c>
      <x:c r="C4" s="48" t="str">
        <x:v>Alemtuzumab</x:v>
      </x:c>
      <x:c r="D4" s="73" t="n">
        <x:v>20</x:v>
      </x:c>
      <x:c r="E4" s="73" t="n">
        <x:v>21.92548179626465</x:v>
      </x:c>
      <x:c r="F4" s="73" t="n">
        <x:v>21.92548179626465</x:v>
      </x:c>
      <x:c r="G4" s="48" t="n">
        <x:v>1</x:v>
      </x:c>
      <x:c r="H4" s="50" t="n">
        <x:v>0.242285281419754</x:v>
      </x:c>
      <x:c r="I4" s="48" t="n">
        <x:v>0</x:v>
      </x:c>
    </x:row>
    <x:row r="5">
      <x:c r="A5" s="48" t="str">
        <x:v>CT0029_A1_001</x:v>
      </x:c>
      <x:c r="B5" s="48" t="str">
        <x:v>CT0029</x:v>
      </x:c>
      <x:c r="C5" s="48" t="str">
        <x:v>Atezolizumab</x:v>
      </x:c>
      <x:c r="D5" s="73" t="n">
        <x:v>2.507836991</x:v>
      </x:c>
      <x:c r="E5" s="73" t="n">
        <x:v>22.174922943115234</x:v>
      </x:c>
      <x:c r="F5" s="73" t="n">
        <x:v>22.174922943115234</x:v>
      </x:c>
      <x:c r="G5" s="48" t="n">
        <x:v>0</x:v>
      </x:c>
      <x:c r="H5" s="50" t="n">
        <x:v>0.90813010931015</x:v>
      </x:c>
      <x:c r="I5" s="48" t="n">
        <x:v>1</x:v>
      </x:c>
    </x:row>
    <x:row r="6">
      <x:c r="A6" s="48" t="str">
        <x:v>CT0029_A1_002</x:v>
      </x:c>
      <x:c r="B6" s="48" t="str">
        <x:v>CT0029</x:v>
      </x:c>
      <x:c r="C6" s="48" t="str">
        <x:v>Atezolizumab</x:v>
      </x:c>
      <x:c r="D6" s="73" t="n">
        <x:v>27.5862069</x:v>
      </x:c>
      <x:c r="E6" s="73" t="n">
        <x:v>22.485084533691406</x:v>
      </x:c>
      <x:c r="F6" s="73" t="n">
        <x:v>22.485084533691406</x:v>
      </x:c>
      <x:c r="G6" s="48" t="n">
        <x:v>1</x:v>
      </x:c>
      <x:c r="H6" s="50" t="n">
        <x:v>0.9150381088256836</x:v>
      </x:c>
      <x:c r="I6" s="48" t="n">
        <x:v>1</x:v>
      </x:c>
    </x:row>
    <x:row r="7">
      <x:c r="A7" s="48" t="str">
        <x:v>CT0029_A1_003</x:v>
      </x:c>
      <x:c r="B7" s="48" t="str">
        <x:v>CT0029</x:v>
      </x:c>
      <x:c r="C7" s="48" t="str">
        <x:v>Atezolizumab</x:v>
      </x:c>
      <x:c r="D7" s="73" t="n">
        <x:v>0.821018062</x:v>
      </x:c>
      <x:c r="E7" s="73" t="n">
        <x:v>22.485084533691406</x:v>
      </x:c>
      <x:c r="F7" s="73" t="n">
        <x:v>22.485084533691406</x:v>
      </x:c>
      <x:c r="G7" s="48" t="n">
        <x:v>0</x:v>
      </x:c>
      <x:c r="H7" s="50" t="n">
        <x:v>0.9150381088256836</x:v>
      </x:c>
      <x:c r="I7" s="48" t="n">
        <x:v>1</x:v>
      </x:c>
    </x:row>
    <x:row r="8">
      <x:c r="A8" s="48" t="str">
        <x:v>CT0032_A1_002</x:v>
      </x:c>
      <x:c r="B8" s="48" t="str">
        <x:v>CT0032</x:v>
      </x:c>
      <x:c r="C8" s="48" t="str">
        <x:v>Trastuzumab emtansine</x:v>
      </x:c>
      <x:c r="D8" s="73" t="n">
        <x:v>7.5</x:v>
      </x:c>
      <x:c r="E8" s="73" t="n">
        <x:v>6.921314239501953</x:v>
      </x:c>
      <x:c r="F8" s="73" t="n">
        <x:v>6.921314239501953</x:v>
      </x:c>
      <x:c r="G8" s="48" t="n">
        <x:v>0</x:v>
      </x:c>
      <x:c r="H8" s="50" t="n">
        <x:v>0.4151693880558014</x:v>
      </x:c>
      <x:c r="I8" s="48" t="n">
        <x:v>0</x:v>
      </x:c>
    </x:row>
    <x:row r="9">
      <x:c r="A9" s="48" t="str">
        <x:v>CT0032_A1_003</x:v>
      </x:c>
      <x:c r="B9" s="48" t="str">
        <x:v>CT0032</x:v>
      </x:c>
      <x:c r="C9" s="48" t="str">
        <x:v>Trastuzumab emtansine</x:v>
      </x:c>
      <x:c r="D9" s="73" t="n">
        <x:v>11.7</x:v>
      </x:c>
      <x:c r="E9" s="73" t="n">
        <x:v>6.921314239501953</x:v>
      </x:c>
      <x:c r="F9" s="73" t="n">
        <x:v>6.921314239501953</x:v>
      </x:c>
      <x:c r="G9" s="48" t="n">
        <x:v>1</x:v>
      </x:c>
      <x:c r="H9" s="50" t="n">
        <x:v>0.4151693880558014</x:v>
      </x:c>
      <x:c r="I9" s="48" t="n">
        <x:v>0</x:v>
      </x:c>
    </x:row>
    <x:row r="10">
      <x:c r="A10" s="48" t="str">
        <x:v>CT0032_A1_004</x:v>
      </x:c>
      <x:c r="B10" s="48" t="str">
        <x:v>CT0032</x:v>
      </x:c>
      <x:c r="C10" s="48" t="str">
        <x:v>Trastuzumab emtansine</x:v>
      </x:c>
      <x:c r="D10" s="73" t="n">
        <x:v>13.1</x:v>
      </x:c>
      <x:c r="E10" s="73" t="n">
        <x:v>6.921314239501953</x:v>
      </x:c>
      <x:c r="F10" s="73" t="n">
        <x:v>6.921314239501953</x:v>
      </x:c>
      <x:c r="G10" s="48" t="n">
        <x:v>1</x:v>
      </x:c>
      <x:c r="H10" s="50" t="n">
        <x:v>0.4151693880558014</x:v>
      </x:c>
      <x:c r="I10" s="48" t="n">
        <x:v>0</x:v>
      </x:c>
    </x:row>
    <x:row r="11">
      <x:c r="A11" s="48" t="str">
        <x:v>CT0035_A2_001</x:v>
      </x:c>
      <x:c r="B11" s="48" t="str">
        <x:v>CT0035</x:v>
      </x:c>
      <x:c r="C11" s="48" t="str">
        <x:v>Lebrikizumab</x:v>
      </x:c>
      <x:c r="D11" s="73" t="n">
        <x:v>16.1</x:v>
      </x:c>
      <x:c r="E11" s="73" t="n">
        <x:v>14.837484359741213</x:v>
      </x:c>
      <x:c r="F11" s="73" t="n">
        <x:v>14.837484359741213</x:v>
      </x:c>
      <x:c r="G11" s="48" t="n">
        <x:v>1</x:v>
      </x:c>
      <x:c r="H11" s="50" t="n">
        <x:v>0.8826159238815308</x:v>
      </x:c>
      <x:c r="I11" s="48" t="n">
        <x:v>1</x:v>
      </x:c>
    </x:row>
    <x:row r="12">
      <x:c r="A12" s="48" t="str">
        <x:v>CT0035_A3_001</x:v>
      </x:c>
      <x:c r="B12" s="48" t="str">
        <x:v>CT0035</x:v>
      </x:c>
      <x:c r="C12" s="48" t="str">
        <x:v>Lebrikizumab</x:v>
      </x:c>
      <x:c r="D12" s="73" t="n">
        <x:v>14</x:v>
      </x:c>
      <x:c r="E12" s="73" t="n">
        <x:v>13.9053316116333</x:v>
      </x:c>
      <x:c r="F12" s="73" t="n">
        <x:v>13.9053316116333</x:v>
      </x:c>
      <x:c r="G12" s="48" t="n">
        <x:v>1</x:v>
      </x:c>
      <x:c r="H12" s="50" t="n">
        <x:v>0.8364649415016174</x:v>
      </x:c>
      <x:c r="I12" s="48" t="n">
        <x:v>1</x:v>
      </x:c>
    </x:row>
    <x:row r="13">
      <x:c r="A13" s="48" t="str">
        <x:v>CT0035_A4_001</x:v>
      </x:c>
      <x:c r="B13" s="48" t="str">
        <x:v>CT0035</x:v>
      </x:c>
      <x:c r="C13" s="48" t="str">
        <x:v>Lebrikizumab</x:v>
      </x:c>
      <x:c r="D13" s="73" t="n">
        <x:v>11.6</x:v>
      </x:c>
      <x:c r="E13" s="73" t="n">
        <x:v>12.506990432739258</x:v>
      </x:c>
      <x:c r="F13" s="73" t="n">
        <x:v>12.506990432739258</x:v>
      </x:c>
      <x:c r="G13" s="48" t="n">
        <x:v>1</x:v>
      </x:c>
      <x:c r="H13" s="50" t="n">
        <x:v>0.913329303264618</x:v>
      </x:c>
      <x:c r="I13" s="48" t="n">
        <x:v>1</x:v>
      </x:c>
    </x:row>
    <x:row r="14">
      <x:c r="A14" s="48" t="str">
        <x:v>CT0035_A5_001</x:v>
      </x:c>
      <x:c r="B14" s="48" t="str">
        <x:v>CT0035</x:v>
      </x:c>
      <x:c r="C14" s="48" t="str">
        <x:v>Lebrikizumab</x:v>
      </x:c>
      <x:c r="D14" s="73" t="n">
        <x:v>8.4</x:v>
      </x:c>
      <x:c r="E14" s="73" t="n">
        <x:v>10.161884307861328</x:v>
      </x:c>
      <x:c r="F14" s="73" t="n">
        <x:v>10.161884307861328</x:v>
      </x:c>
      <x:c r="G14" s="48" t="n">
        <x:v>0</x:v>
      </x:c>
      <x:c r="H14" s="50" t="n">
        <x:v>0.8496264219284058</x:v>
      </x:c>
      <x:c r="I14" s="48" t="n">
        <x:v>1</x:v>
      </x:c>
    </x:row>
    <x:row r="15">
      <x:c r="A15" s="48" t="str">
        <x:v>CT0036_A2_001</x:v>
      </x:c>
      <x:c r="B15" s="48" t="str">
        <x:v>CT0036</x:v>
      </x:c>
      <x:c r="C15" s="48" t="str">
        <x:v>Tanezumab</x:v>
      </x:c>
      <x:c r="D15" s="73" t="n">
        <x:v>0</x:v>
      </x:c>
      <x:c r="E15" s="73" t="n">
        <x:v>1.833442449569702</x:v>
      </x:c>
      <x:c r="F15" s="73" t="n">
        <x:v>1.833442449569702</x:v>
      </x:c>
      <x:c r="G15" s="48" t="n">
        <x:v>0</x:v>
      </x:c>
      <x:c r="H15" s="50" t="n">
        <x:v>0.0240407604724168</x:v>
      </x:c>
      <x:c r="I15" s="48" t="n">
        <x:v>0</x:v>
      </x:c>
    </x:row>
    <x:row r="16">
      <x:c r="A16" s="48" t="str">
        <x:v>CT0036_A3_001</x:v>
      </x:c>
      <x:c r="B16" s="48" t="str">
        <x:v>CT0036</x:v>
      </x:c>
      <x:c r="C16" s="48" t="str">
        <x:v>Tanezumab</x:v>
      </x:c>
      <x:c r="D16" s="73" t="n">
        <x:v>0</x:v>
      </x:c>
      <x:c r="E16" s="73" t="n">
        <x:v>0.1554027497768402</x:v>
      </x:c>
      <x:c r="F16" s="73" t="n">
        <x:v>0.1554027497768402</x:v>
      </x:c>
      <x:c r="G16" s="48" t="n">
        <x:v>0</x:v>
      </x:c>
      <x:c r="H16" s="50" t="n">
        <x:v>0.0227271933108568</x:v>
      </x:c>
      <x:c r="I16" s="48" t="n">
        <x:v>0</x:v>
      </x:c>
    </x:row>
    <x:row r="17">
      <x:c r="A17" s="48" t="str">
        <x:v>CT0036_A4_001</x:v>
      </x:c>
      <x:c r="B17" s="48" t="str">
        <x:v>CT0036</x:v>
      </x:c>
      <x:c r="C17" s="48" t="str">
        <x:v>Tanezumab</x:v>
      </x:c>
      <x:c r="D17" s="73" t="n">
        <x:v>1.388888889</x:v>
      </x:c>
      <x:c r="E17" s="73" t="n">
        <x:v>4.588499546051025</x:v>
      </x:c>
      <x:c r="F17" s="73" t="n">
        <x:v>4.588499546051025</x:v>
      </x:c>
      <x:c r="G17" s="48" t="n">
        <x:v>0</x:v>
      </x:c>
      <x:c r="H17" s="50" t="n">
        <x:v>0.0993484109640121</x:v>
      </x:c>
      <x:c r="I17" s="48" t="n">
        <x:v>0</x:v>
      </x:c>
    </x:row>
    <x:row r="18">
      <x:c r="A18" s="48" t="str">
        <x:v>CT0710_A1_001</x:v>
      </x:c>
      <x:c r="B18" s="48" t="str">
        <x:v>CT0710</x:v>
      </x:c>
      <x:c r="C18" s="48" t="str">
        <x:v>Moxetumomab pasudotox</x:v>
      </x:c>
      <x:c r="D18" s="73" t="n">
        <x:v>59</x:v>
      </x:c>
      <x:c r="E18" s="73" t="n">
        <x:v>75.64617919921875</x:v>
      </x:c>
      <x:c r="F18" s="73" t="n">
        <x:v>75.64617919921875</x:v>
      </x:c>
      <x:c r="G18" s="48" t="n">
        <x:v>1</x:v>
      </x:c>
      <x:c r="H18" s="50" t="n">
        <x:v>0.9282651543617249</x:v>
      </x:c>
      <x:c r="I18" s="48" t="n">
        <x:v>1</x:v>
      </x:c>
    </x:row>
    <x:row r="19">
      <x:c r="A19" s="48" t="str">
        <x:v>CT0045_A1_002</x:v>
      </x:c>
      <x:c r="B19" s="48" t="str">
        <x:v>CT0045</x:v>
      </x:c>
      <x:c r="C19" s="48" t="str">
        <x:v>Trastuzumab</x:v>
      </x:c>
      <x:c r="D19" s="73" t="n">
        <x:v>6.060606061</x:v>
      </x:c>
      <x:c r="E19" s="73" t="n">
        <x:v>7.518227577209473</x:v>
      </x:c>
      <x:c r="F19" s="73" t="n">
        <x:v>7.518227577209473</x:v>
      </x:c>
      <x:c r="G19" s="48" t="n">
        <x:v>0</x:v>
      </x:c>
      <x:c r="H19" s="50" t="n">
        <x:v>0.3036514520645141</x:v>
      </x:c>
      <x:c r="I19" s="48" t="n">
        <x:v>0</x:v>
      </x:c>
    </x:row>
    <x:row r="20">
      <x:c r="A20" s="48" t="str">
        <x:v>CT0158_A4_001</x:v>
      </x:c>
      <x:c r="B20" s="48" t="str">
        <x:v>CT0158</x:v>
      </x:c>
      <x:c r="C20" s="48" t="str">
        <x:v>Ipilimumab</x:v>
      </x:c>
      <x:c r="D20" s="73" t="n">
        <x:v>20</x:v>
      </x:c>
      <x:c r="E20" s="73" t="n">
        <x:v>7.575453758239746</x:v>
      </x:c>
      <x:c r="F20" s="73" t="n">
        <x:v>7.575453758239746</x:v>
      </x:c>
      <x:c r="G20" s="48" t="n">
        <x:v>1</x:v>
      </x:c>
      <x:c r="H20" s="50" t="n">
        <x:v>0.2373647391796112</x:v>
      </x:c>
      <x:c r="I20" s="48" t="n">
        <x:v>0</x:v>
      </x:c>
    </x:row>
    <x:row r="21">
      <x:c r="A21" s="48" t="str">
        <x:v>CT0424_A8_003</x:v>
      </x:c>
      <x:c r="B21" s="48" t="str">
        <x:v>CT0424</x:v>
      </x:c>
      <x:c r="C21" s="48" t="str">
        <x:v>Nivolumab</x:v>
      </x:c>
      <x:c r="D21" s="73" t="n">
        <x:v>20</x:v>
      </x:c>
      <x:c r="E21" s="73" t="n">
        <x:v>11.32197093963623</x:v>
      </x:c>
      <x:c r="F21" s="73" t="n">
        <x:v>11.32197093963623</x:v>
      </x:c>
      <x:c r="G21" s="48" t="n">
        <x:v>1</x:v>
      </x:c>
      <x:c r="H21" s="50" t="n">
        <x:v>0.4240776002407074</x:v>
      </x:c>
      <x:c r="I21" s="48" t="n">
        <x:v>0</x:v>
      </x:c>
    </x:row>
    <x:row r="22">
      <x:c r="A22" s="48" t="str">
        <x:v>CT0158_A3_003</x:v>
      </x:c>
      <x:c r="B22" s="48" t="str">
        <x:v>CT0158</x:v>
      </x:c>
      <x:c r="C22" s="48" t="str">
        <x:v>Nivolumab</x:v>
      </x:c>
      <x:c r="D22" s="73" t="n">
        <x:v>12.5</x:v>
      </x:c>
      <x:c r="E22" s="73" t="n">
        <x:v>19.187936782836918</x:v>
      </x:c>
      <x:c r="F22" s="73" t="n">
        <x:v>19.187936782836918</x:v>
      </x:c>
      <x:c r="G22" s="48" t="n">
        <x:v>1</x:v>
      </x:c>
      <x:c r="H22" s="50" t="n">
        <x:v>0.5600378513336182</x:v>
      </x:c>
      <x:c r="I22" s="48" t="n">
        <x:v>1</x:v>
      </x:c>
    </x:row>
    <x:row r="23">
      <x:c r="A23" s="48" t="str">
        <x:v>CT0056_A1_003</x:v>
      </x:c>
      <x:c r="B23" s="48" t="str">
        <x:v>CT0056</x:v>
      </x:c>
      <x:c r="C23" s="48" t="str">
        <x:v>Reslizumab</x:v>
      </x:c>
      <x:c r="D23" s="73" t="n">
        <x:v>0</x:v>
      </x:c>
      <x:c r="E23" s="73" t="n">
        <x:v>26.558048248291016</x:v>
      </x:c>
      <x:c r="F23" s="73" t="n">
        <x:v>26.558048248291016</x:v>
      </x:c>
      <x:c r="G23" s="48" t="n">
        <x:v>0</x:v>
      </x:c>
      <x:c r="H23" s="50" t="n">
        <x:v>0.4148952662944793</x:v>
      </x:c>
      <x:c r="I23" s="48" t="n">
        <x:v>0</x:v>
      </x:c>
    </x:row>
    <x:row r="24">
      <x:c r="A24" s="48" t="str">
        <x:v>CT0056_A2_003</x:v>
      </x:c>
      <x:c r="B24" s="48" t="str">
        <x:v>CT0056</x:v>
      </x:c>
      <x:c r="C24" s="48" t="str">
        <x:v>Reslizumab</x:v>
      </x:c>
      <x:c r="D24" s="73" t="n">
        <x:v>0</x:v>
      </x:c>
      <x:c r="E24" s="73" t="n">
        <x:v>26.558048248291016</x:v>
      </x:c>
      <x:c r="F24" s="73" t="n">
        <x:v>26.558048248291016</x:v>
      </x:c>
      <x:c r="G24" s="48" t="n">
        <x:v>0</x:v>
      </x:c>
      <x:c r="H24" s="50" t="n">
        <x:v>0.4148952662944793</x:v>
      </x:c>
      <x:c r="I24" s="48" t="n">
        <x:v>0</x:v>
      </x:c>
    </x:row>
    <x:row r="25">
      <x:c r="A25" s="48" t="str">
        <x:v>CT0056_A3_003</x:v>
      </x:c>
      <x:c r="B25" s="48" t="str">
        <x:v>CT0056</x:v>
      </x:c>
      <x:c r="C25" s="48" t="str">
        <x:v>Reslizumab</x:v>
      </x:c>
      <x:c r="D25" s="73" t="n">
        <x:v>0</x:v>
      </x:c>
      <x:c r="E25" s="73" t="n">
        <x:v>15.059886932373049</x:v>
      </x:c>
      <x:c r="F25" s="73" t="n">
        <x:v>15.059886932373049</x:v>
      </x:c>
      <x:c r="G25" s="48" t="n">
        <x:v>0</x:v>
      </x:c>
      <x:c r="H25" s="50" t="n">
        <x:v>0.3636071979999542</x:v>
      </x:c>
      <x:c r="I25" s="48" t="n">
        <x:v>0</x:v>
      </x:c>
    </x:row>
    <x:row r="26">
      <x:c r="A26" s="48" t="str">
        <x:v>CT0056_A1_004</x:v>
      </x:c>
      <x:c r="B26" s="48" t="str">
        <x:v>CT0056</x:v>
      </x:c>
      <x:c r="C26" s="48" t="str">
        <x:v>Reslizumab</x:v>
      </x:c>
      <x:c r="D26" s="73" t="n">
        <x:v>16.66666667</x:v>
      </x:c>
      <x:c r="E26" s="73" t="n">
        <x:v>24.114688873291016</x:v>
      </x:c>
      <x:c r="F26" s="73" t="n">
        <x:v>24.114688873291016</x:v>
      </x:c>
      <x:c r="G26" s="48" t="n">
        <x:v>1</x:v>
      </x:c>
      <x:c r="H26" s="50" t="n">
        <x:v>0.4191974401473999</x:v>
      </x:c>
      <x:c r="I26" s="48" t="n">
        <x:v>0</x:v>
      </x:c>
    </x:row>
    <x:row r="27">
      <x:c r="A27" s="48" t="str">
        <x:v>CT0056_A2_004</x:v>
      </x:c>
      <x:c r="B27" s="48" t="str">
        <x:v>CT0056</x:v>
      </x:c>
      <x:c r="C27" s="48" t="str">
        <x:v>Reslizumab</x:v>
      </x:c>
      <x:c r="D27" s="73" t="n">
        <x:v>0</x:v>
      </x:c>
      <x:c r="E27" s="73" t="n">
        <x:v>24.114688873291016</x:v>
      </x:c>
      <x:c r="F27" s="73" t="n">
        <x:v>24.114688873291016</x:v>
      </x:c>
      <x:c r="G27" s="48" t="n">
        <x:v>0</x:v>
      </x:c>
      <x:c r="H27" s="50" t="n">
        <x:v>0.4191974401473999</x:v>
      </x:c>
      <x:c r="I27" s="48" t="n">
        <x:v>0</x:v>
      </x:c>
    </x:row>
    <x:row r="28">
      <x:c r="A28" s="48" t="str">
        <x:v>CT0056_A3_004</x:v>
      </x:c>
      <x:c r="B28" s="48" t="str">
        <x:v>CT0056</x:v>
      </x:c>
      <x:c r="C28" s="48" t="str">
        <x:v>Reslizumab</x:v>
      </x:c>
      <x:c r="D28" s="73" t="n">
        <x:v>0</x:v>
      </x:c>
      <x:c r="E28" s="73" t="n">
        <x:v>13.464529037475586</x:v>
      </x:c>
      <x:c r="F28" s="73" t="n">
        <x:v>13.464529037475586</x:v>
      </x:c>
      <x:c r="G28" s="48" t="n">
        <x:v>0</x:v>
      </x:c>
      <x:c r="H28" s="50" t="n">
        <x:v>0.3606719672679901</x:v>
      </x:c>
      <x:c r="I28" s="48" t="n">
        <x:v>0</x:v>
      </x:c>
    </x:row>
    <x:row r="29">
      <x:c r="A29" s="48" t="str">
        <x:v>CT0056_A1_005</x:v>
      </x:c>
      <x:c r="B29" s="48" t="str">
        <x:v>CT0056</x:v>
      </x:c>
      <x:c r="C29" s="48" t="str">
        <x:v>Reslizumab</x:v>
      </x:c>
      <x:c r="D29" s="73" t="n">
        <x:v>8.333333333</x:v>
      </x:c>
      <x:c r="E29" s="73" t="n">
        <x:v>23.950519561767575</x:v>
      </x:c>
      <x:c r="F29" s="73" t="n">
        <x:v>23.950519561767575</x:v>
      </x:c>
      <x:c r="G29" s="48" t="n">
        <x:v>0</x:v>
      </x:c>
      <x:c r="H29" s="50" t="n">
        <x:v>0.4294226467609405</x:v>
      </x:c>
      <x:c r="I29" s="48" t="n">
        <x:v>0</x:v>
      </x:c>
    </x:row>
    <x:row r="30">
      <x:c r="A30" s="48" t="str">
        <x:v>CT0056_A2_005</x:v>
      </x:c>
      <x:c r="B30" s="48" t="str">
        <x:v>CT0056</x:v>
      </x:c>
      <x:c r="C30" s="48" t="str">
        <x:v>Reslizumab</x:v>
      </x:c>
      <x:c r="D30" s="73" t="n">
        <x:v>0</x:v>
      </x:c>
      <x:c r="E30" s="73" t="n">
        <x:v>23.950519561767575</x:v>
      </x:c>
      <x:c r="F30" s="73" t="n">
        <x:v>23.950519561767575</x:v>
      </x:c>
      <x:c r="G30" s="48" t="n">
        <x:v>0</x:v>
      </x:c>
      <x:c r="H30" s="50" t="n">
        <x:v>0.4294226467609405</x:v>
      </x:c>
      <x:c r="I30" s="48" t="n">
        <x:v>0</x:v>
      </x:c>
    </x:row>
    <x:row r="31">
      <x:c r="A31" s="48" t="str">
        <x:v>CT0056_A3_005</x:v>
      </x:c>
      <x:c r="B31" s="48" t="str">
        <x:v>CT0056</x:v>
      </x:c>
      <x:c r="C31" s="48" t="str">
        <x:v>Reslizumab</x:v>
      </x:c>
      <x:c r="D31" s="73" t="n">
        <x:v>0</x:v>
      </x:c>
      <x:c r="E31" s="73" t="n">
        <x:v>13.413285255432127</x:v>
      </x:c>
      <x:c r="F31" s="73" t="n">
        <x:v>13.413285255432127</x:v>
      </x:c>
      <x:c r="G31" s="48" t="n">
        <x:v>0</x:v>
      </x:c>
      <x:c r="H31" s="50" t="n">
        <x:v>0.361283004283905</x:v>
      </x:c>
      <x:c r="I31" s="48" t="n">
        <x:v>0</x:v>
      </x:c>
    </x:row>
    <x:row r="32">
      <x:c r="A32" s="48" t="str">
        <x:v>CT0064_A2_001</x:v>
      </x:c>
      <x:c r="B32" s="48" t="str">
        <x:v>CT0064</x:v>
      </x:c>
      <x:c r="C32" s="48" t="str">
        <x:v>Brolucizumab</x:v>
      </x:c>
      <x:c r="D32" s="73" t="n">
        <x:v>55.30973451</x:v>
      </x:c>
      <x:c r="E32" s="73" t="n">
        <x:v>62.932411193847656</x:v>
      </x:c>
      <x:c r="F32" s="73" t="n">
        <x:v>62.932411193847656</x:v>
      </x:c>
      <x:c r="G32" s="48" t="n">
        <x:v>1</x:v>
      </x:c>
      <x:c r="H32" s="50" t="n">
        <x:v>0.9848403334617616</x:v>
      </x:c>
      <x:c r="I32" s="48" t="n">
        <x:v>1</x:v>
      </x:c>
    </x:row>
    <x:row r="33">
      <x:c r="A33" s="48" t="str">
        <x:v>CT0064_A2_002</x:v>
      </x:c>
      <x:c r="B33" s="48" t="str">
        <x:v>CT0064</x:v>
      </x:c>
      <x:c r="C33" s="48" t="str">
        <x:v>Brolucizumab</x:v>
      </x:c>
      <x:c r="D33" s="73" t="n">
        <x:v>58.82352941</x:v>
      </x:c>
      <x:c r="E33" s="73" t="n">
        <x:v>64.22090911865234</x:v>
      </x:c>
      <x:c r="F33" s="73" t="n">
        <x:v>64.22090911865234</x:v>
      </x:c>
      <x:c r="G33" s="48" t="n">
        <x:v>1</x:v>
      </x:c>
      <x:c r="H33" s="50" t="n">
        <x:v>0.9891228675842284</x:v>
      </x:c>
      <x:c r="I33" s="48" t="n">
        <x:v>1</x:v>
      </x:c>
    </x:row>
    <x:row r="34">
      <x:c r="A34" s="48" t="str">
        <x:v>CT0064_A2_003</x:v>
      </x:c>
      <x:c r="B34" s="48" t="str">
        <x:v>CT0064</x:v>
      </x:c>
      <x:c r="C34" s="48" t="str">
        <x:v>Brolucizumab</x:v>
      </x:c>
      <x:c r="D34" s="73" t="n">
        <x:v>65.06849315</x:v>
      </x:c>
      <x:c r="E34" s="73" t="n">
        <x:v>66.8800277709961</x:v>
      </x:c>
      <x:c r="F34" s="73" t="n">
        <x:v>66.8800277709961</x:v>
      </x:c>
      <x:c r="G34" s="48" t="n">
        <x:v>1</x:v>
      </x:c>
      <x:c r="H34" s="50" t="n">
        <x:v>0.9901110529899596</x:v>
      </x:c>
      <x:c r="I34" s="48" t="n">
        <x:v>1</x:v>
      </x:c>
    </x:row>
    <x:row r="35">
      <x:c r="A35" s="48" t="str">
        <x:v>CT0064_A2_004</x:v>
      </x:c>
      <x:c r="B35" s="48" t="str">
        <x:v>CT0064</x:v>
      </x:c>
      <x:c r="C35" s="48" t="str">
        <x:v>Brolucizumab</x:v>
      </x:c>
      <x:c r="D35" s="73" t="n">
        <x:v>69.29824561</x:v>
      </x:c>
      <x:c r="E35" s="73" t="n">
        <x:v>69.31575775146484</x:v>
      </x:c>
      <x:c r="F35" s="73" t="n">
        <x:v>69.31575775146484</x:v>
      </x:c>
      <x:c r="G35" s="48" t="n">
        <x:v>1</x:v>
      </x:c>
      <x:c r="H35" s="50" t="n">
        <x:v>0.9907270073890686</x:v>
      </x:c>
      <x:c r="I35" s="48" t="n">
        <x:v>1</x:v>
      </x:c>
    </x:row>
    <x:row r="36">
      <x:c r="A36" s="48" t="str">
        <x:v>CT0064_A2_005</x:v>
      </x:c>
      <x:c r="B36" s="48" t="str">
        <x:v>CT0064</x:v>
      </x:c>
      <x:c r="C36" s="48" t="str">
        <x:v>Brolucizumab</x:v>
      </x:c>
      <x:c r="D36" s="73" t="n">
        <x:v>67.54385965</x:v>
      </x:c>
      <x:c r="E36" s="73" t="n">
        <x:v>69.30404663085938</x:v>
      </x:c>
      <x:c r="F36" s="73" t="n">
        <x:v>69.30404663085938</x:v>
      </x:c>
      <x:c r="G36" s="48" t="n">
        <x:v>1</x:v>
      </x:c>
      <x:c r="H36" s="50" t="n">
        <x:v>0.9895323514938354</x:v>
      </x:c>
      <x:c r="I36" s="48" t="n">
        <x:v>1</x:v>
      </x:c>
    </x:row>
    <x:row r="37">
      <x:c r="A37" s="48" t="str">
        <x:v>CT0064_A2_006</x:v>
      </x:c>
      <x:c r="B37" s="48" t="str">
        <x:v>CT0064</x:v>
      </x:c>
      <x:c r="C37" s="48" t="str">
        <x:v>Brolucizumab</x:v>
      </x:c>
      <x:c r="D37" s="73" t="n">
        <x:v>62.68656716</x:v>
      </x:c>
      <x:c r="E37" s="73" t="n">
        <x:v>71.7335205078125</x:v>
      </x:c>
      <x:c r="F37" s="73" t="n">
        <x:v>71.7335205078125</x:v>
      </x:c>
      <x:c r="G37" s="48" t="n">
        <x:v>1</x:v>
      </x:c>
      <x:c r="H37" s="50" t="n">
        <x:v>0.98413747549057</x:v>
      </x:c>
      <x:c r="I37" s="48" t="n">
        <x:v>1</x:v>
      </x:c>
    </x:row>
    <x:row r="38">
      <x:c r="A38" s="48" t="str">
        <x:v>CT0072_A1_001</x:v>
      </x:c>
      <x:c r="B38" s="48" t="str">
        <x:v>CT0072</x:v>
      </x:c>
      <x:c r="C38" s="48" t="str">
        <x:v>Denosumab</x:v>
      </x:c>
      <x:c r="D38" s="73" t="n">
        <x:v>5.555555556</x:v>
      </x:c>
      <x:c r="E38" s="73" t="n">
        <x:v>2.378422737121582</x:v>
      </x:c>
      <x:c r="F38" s="73" t="n">
        <x:v>2.378422737121582</x:v>
      </x:c>
      <x:c r="G38" s="48" t="n">
        <x:v>0</x:v>
      </x:c>
      <x:c r="H38" s="50" t="n">
        <x:v>0.0932503938674926</x:v>
      </x:c>
      <x:c r="I38" s="48" t="n">
        <x:v>0</x:v>
      </x:c>
    </x:row>
    <x:row r="39">
      <x:c r="A39" s="48" t="str">
        <x:v>CT0072_A2_001</x:v>
      </x:c>
      <x:c r="B39" s="48" t="str">
        <x:v>CT0072</x:v>
      </x:c>
      <x:c r="C39" s="48" t="str">
        <x:v>Denosumab</x:v>
      </x:c>
      <x:c r="D39" s="73" t="n">
        <x:v>0</x:v>
      </x:c>
      <x:c r="E39" s="73" t="n">
        <x:v>3.483484506607056</x:v>
      </x:c>
      <x:c r="F39" s="73" t="n">
        <x:v>3.483484506607056</x:v>
      </x:c>
      <x:c r="G39" s="48" t="n">
        <x:v>0</x:v>
      </x:c>
      <x:c r="H39" s="50" t="n">
        <x:v>0.1118422299623489</x:v>
      </x:c>
      <x:c r="I39" s="48" t="n">
        <x:v>0</x:v>
      </x:c>
    </x:row>
    <x:row r="40">
      <x:c r="A40" s="48" t="str">
        <x:v>CT0424_A6_003</x:v>
      </x:c>
      <x:c r="B40" s="48" t="str">
        <x:v>CT0424</x:v>
      </x:c>
      <x:c r="C40" s="48" t="str">
        <x:v>Nivolumab</x:v>
      </x:c>
      <x:c r="D40" s="73" t="n">
        <x:v>10</x:v>
      </x:c>
      <x:c r="E40" s="73" t="n">
        <x:v>8.44298267364502</x:v>
      </x:c>
      <x:c r="F40" s="73" t="n">
        <x:v>8.44298267364502</x:v>
      </x:c>
      <x:c r="G40" s="48" t="n">
        <x:v>1</x:v>
      </x:c>
      <x:c r="H40" s="50" t="n">
        <x:v>0.4624100029468536</x:v>
      </x:c>
      <x:c r="I40" s="48" t="n">
        <x:v>0</x:v>
      </x:c>
    </x:row>
    <x:row r="41">
      <x:c r="A41" s="48" t="str">
        <x:v>CT0080_A1_002</x:v>
      </x:c>
      <x:c r="B41" s="48" t="str">
        <x:v>CT0080</x:v>
      </x:c>
      <x:c r="C41" s="48" t="str">
        <x:v>Ofatumumab</x:v>
      </x:c>
      <x:c r="D41" s="73" t="n">
        <x:v>0</x:v>
      </x:c>
      <x:c r="E41" s="73" t="n">
        <x:v>0.6435719132423401</x:v>
      </x:c>
      <x:c r="F41" s="73" t="n">
        <x:v>0.6435719132423401</x:v>
      </x:c>
      <x:c r="G41" s="48" t="n">
        <x:v>0</x:v>
      </x:c>
      <x:c r="H41" s="50" t="n">
        <x:v>0.0743291079998016</x:v>
      </x:c>
      <x:c r="I41" s="48" t="n">
        <x:v>0</x:v>
      </x:c>
    </x:row>
    <x:row r="42">
      <x:c r="A42" s="48" t="str">
        <x:v>CT0080_A2_002</x:v>
      </x:c>
      <x:c r="B42" s="48" t="str">
        <x:v>CT0080</x:v>
      </x:c>
      <x:c r="C42" s="48" t="str">
        <x:v>Ofatumumab</x:v>
      </x:c>
      <x:c r="D42" s="73" t="n">
        <x:v>0</x:v>
      </x:c>
      <x:c r="E42" s="73" t="n">
        <x:v>0.6578425765037537</x:v>
      </x:c>
      <x:c r="F42" s="73" t="n">
        <x:v>0.6578425765037537</x:v>
      </x:c>
      <x:c r="G42" s="48" t="n">
        <x:v>0</x:v>
      </x:c>
      <x:c r="H42" s="50" t="n">
        <x:v>0.0773283913731575</x:v>
      </x:c>
      <x:c r="I42" s="48" t="n">
        <x:v>0</x:v>
      </x:c>
    </x:row>
    <x:row r="43">
      <x:c r="A43" s="48" t="str">
        <x:v>CT0080_A1_003</x:v>
      </x:c>
      <x:c r="B43" s="48" t="str">
        <x:v>CT0080</x:v>
      </x:c>
      <x:c r="C43" s="48" t="str">
        <x:v>Ofatumumab</x:v>
      </x:c>
      <x:c r="D43" s="73" t="n">
        <x:v>0</x:v>
      </x:c>
      <x:c r="E43" s="73" t="n">
        <x:v>1.2027406692504885</x:v>
      </x:c>
      <x:c r="F43" s="73" t="n">
        <x:v>1.2027406692504885</x:v>
      </x:c>
      <x:c r="G43" s="48" t="n">
        <x:v>0</x:v>
      </x:c>
      <x:c r="H43" s="50" t="n">
        <x:v>0.0801974907517433</x:v>
      </x:c>
      <x:c r="I43" s="48" t="n">
        <x:v>0</x:v>
      </x:c>
    </x:row>
    <x:row r="44">
      <x:c r="A44" s="48" t="str">
        <x:v>CT0080_A2_003</x:v>
      </x:c>
      <x:c r="B44" s="48" t="str">
        <x:v>CT0080</x:v>
      </x:c>
      <x:c r="C44" s="48" t="str">
        <x:v>Ofatumumab</x:v>
      </x:c>
      <x:c r="D44" s="73" t="n">
        <x:v>0</x:v>
      </x:c>
      <x:c r="E44" s="73" t="n">
        <x:v>1.2547399997711182</x:v>
      </x:c>
      <x:c r="F44" s="73" t="n">
        <x:v>1.2547399997711182</x:v>
      </x:c>
      <x:c r="G44" s="48" t="n">
        <x:v>0</x:v>
      </x:c>
      <x:c r="H44" s="50" t="n">
        <x:v>0.0834552347660064</x:v>
      </x:c>
      <x:c r="I44" s="48" t="n">
        <x:v>0</x:v>
      </x:c>
    </x:row>
    <x:row r="45">
      <x:c r="A45" s="48" t="str">
        <x:v>CT0080_A1_004</x:v>
      </x:c>
      <x:c r="B45" s="48" t="str">
        <x:v>CT0080</x:v>
      </x:c>
      <x:c r="C45" s="48" t="str">
        <x:v>Ofatumumab</x:v>
      </x:c>
      <x:c r="D45" s="73" t="n">
        <x:v>0</x:v>
      </x:c>
      <x:c r="E45" s="73" t="n">
        <x:v>1.6250985860824585</x:v>
      </x:c>
      <x:c r="F45" s="73" t="n">
        <x:v>1.6250985860824585</x:v>
      </x:c>
      <x:c r="G45" s="48" t="n">
        <x:v>0</x:v>
      </x:c>
      <x:c r="H45" s="50" t="n">
        <x:v>0.075294092297554</x:v>
      </x:c>
      <x:c r="I45" s="48" t="n">
        <x:v>0</x:v>
      </x:c>
    </x:row>
    <x:row r="46">
      <x:c r="A46" s="48" t="str">
        <x:v>CT0080_A2_004</x:v>
      </x:c>
      <x:c r="B46" s="48" t="str">
        <x:v>CT0080</x:v>
      </x:c>
      <x:c r="C46" s="48" t="str">
        <x:v>Ofatumumab</x:v>
      </x:c>
      <x:c r="D46" s="73" t="n">
        <x:v>0</x:v>
      </x:c>
      <x:c r="E46" s="73" t="n">
        <x:v>1.5453336238861084</x:v>
      </x:c>
      <x:c r="F46" s="73" t="n">
        <x:v>1.5453336238861084</x:v>
      </x:c>
      <x:c r="G46" s="48" t="n">
        <x:v>0</x:v>
      </x:c>
      <x:c r="H46" s="50" t="n">
        <x:v>0.0800735130906105</x:v>
      </x:c>
      <x:c r="I46" s="48" t="n">
        <x:v>0</x:v>
      </x:c>
    </x:row>
    <x:row r="47">
      <x:c r="A47" s="48" t="str">
        <x:v>CT0090_A1_005</x:v>
      </x:c>
      <x:c r="B47" s="48" t="str">
        <x:v>CT0090</x:v>
      </x:c>
      <x:c r="C47" s="48" t="str">
        <x:v>Canakinumab</x:v>
      </x:c>
      <x:c r="D47" s="73" t="n">
        <x:v>0</x:v>
      </x:c>
      <x:c r="E47" s="73" t="n">
        <x:v>1.4764790534973145</x:v>
      </x:c>
      <x:c r="F47" s="73" t="n">
        <x:v>1.4764790534973145</x:v>
      </x:c>
      <x:c r="G47" s="48" t="n">
        <x:v>0</x:v>
      </x:c>
      <x:c r="H47" s="50" t="n">
        <x:v>0.1290458738803863</x:v>
      </x:c>
      <x:c r="I47" s="48" t="n">
        <x:v>0</x:v>
      </x:c>
    </x:row>
    <x:row r="48">
      <x:c r="A48" s="48" t="str">
        <x:v>CT0090_A1_006</x:v>
      </x:c>
      <x:c r="B48" s="48" t="str">
        <x:v>CT0090</x:v>
      </x:c>
      <x:c r="C48" s="48" t="str">
        <x:v>Canakinumab</x:v>
      </x:c>
      <x:c r="D48" s="73" t="n">
        <x:v>0</x:v>
      </x:c>
      <x:c r="E48" s="73" t="n">
        <x:v>1.4764790534973145</x:v>
      </x:c>
      <x:c r="F48" s="73" t="n">
        <x:v>1.4764790534973145</x:v>
      </x:c>
      <x:c r="G48" s="48" t="n">
        <x:v>0</x:v>
      </x:c>
      <x:c r="H48" s="50" t="n">
        <x:v>0.1290458738803863</x:v>
      </x:c>
      <x:c r="I48" s="48" t="n">
        <x:v>0</x:v>
      </x:c>
    </x:row>
    <x:row r="49">
      <x:c r="A49" s="48" t="str">
        <x:v>CT0090_A1_007</x:v>
      </x:c>
      <x:c r="B49" s="48" t="str">
        <x:v>CT0090</x:v>
      </x:c>
      <x:c r="C49" s="48" t="str">
        <x:v>Canakinumab</x:v>
      </x:c>
      <x:c r="D49" s="73" t="n">
        <x:v>0</x:v>
      </x:c>
      <x:c r="E49" s="73" t="n">
        <x:v>1.5086100101470947</x:v>
      </x:c>
      <x:c r="F49" s="73" t="n">
        <x:v>1.5086100101470947</x:v>
      </x:c>
      <x:c r="G49" s="48" t="n">
        <x:v>0</x:v>
      </x:c>
      <x:c r="H49" s="50" t="n">
        <x:v>0.1260904222726822</x:v>
      </x:c>
      <x:c r="I49" s="48" t="n">
        <x:v>0</x:v>
      </x:c>
    </x:row>
    <x:row r="50">
      <x:c r="A50" s="48" t="str">
        <x:v>CT0090_A1_008</x:v>
      </x:c>
      <x:c r="B50" s="48" t="str">
        <x:v>CT0090</x:v>
      </x:c>
      <x:c r="C50" s="48" t="str">
        <x:v>Canakinumab</x:v>
      </x:c>
      <x:c r="D50" s="73" t="n">
        <x:v>0</x:v>
      </x:c>
      <x:c r="E50" s="73" t="n">
        <x:v>1.5086100101470947</x:v>
      </x:c>
      <x:c r="F50" s="73" t="n">
        <x:v>1.5086100101470947</x:v>
      </x:c>
      <x:c r="G50" s="48" t="n">
        <x:v>0</x:v>
      </x:c>
      <x:c r="H50" s="50" t="n">
        <x:v>0.1260904222726822</x:v>
      </x:c>
      <x:c r="I50" s="48" t="n">
        <x:v>0</x:v>
      </x:c>
    </x:row>
    <x:row r="51">
      <x:c r="A51" s="48" t="str">
        <x:v>CT0090_A1_009</x:v>
      </x:c>
      <x:c r="B51" s="48" t="str">
        <x:v>CT0090</x:v>
      </x:c>
      <x:c r="C51" s="48" t="str">
        <x:v>Canakinumab</x:v>
      </x:c>
      <x:c r="D51" s="73" t="n">
        <x:v>0</x:v>
      </x:c>
      <x:c r="E51" s="73" t="n">
        <x:v>1.5015063285827637</x:v>
      </x:c>
      <x:c r="F51" s="73" t="n">
        <x:v>1.5015063285827637</x:v>
      </x:c>
      <x:c r="G51" s="48" t="n">
        <x:v>0</x:v>
      </x:c>
      <x:c r="H51" s="50" t="n">
        <x:v>0.1256956905126571</x:v>
      </x:c>
      <x:c r="I51" s="48" t="n">
        <x:v>0</x:v>
      </x:c>
    </x:row>
    <x:row r="52">
      <x:c r="A52" s="48" t="str">
        <x:v>CT0090_A1_010</x:v>
      </x:c>
      <x:c r="B52" s="48" t="str">
        <x:v>CT0090</x:v>
      </x:c>
      <x:c r="C52" s="48" t="str">
        <x:v>Canakinumab</x:v>
      </x:c>
      <x:c r="D52" s="73" t="n">
        <x:v>0</x:v>
      </x:c>
      <x:c r="E52" s="73" t="n">
        <x:v>1.5015063285827637</x:v>
      </x:c>
      <x:c r="F52" s="73" t="n">
        <x:v>1.5015063285827637</x:v>
      </x:c>
      <x:c r="G52" s="48" t="n">
        <x:v>0</x:v>
      </x:c>
      <x:c r="H52" s="50" t="n">
        <x:v>0.1256956905126571</x:v>
      </x:c>
      <x:c r="I52" s="48" t="n">
        <x:v>0</x:v>
      </x:c>
    </x:row>
    <x:row r="53">
      <x:c r="A53" s="48" t="str">
        <x:v>CT0090_A1_011</x:v>
      </x:c>
      <x:c r="B53" s="48" t="str">
        <x:v>CT0090</x:v>
      </x:c>
      <x:c r="C53" s="48" t="str">
        <x:v>Canakinumab</x:v>
      </x:c>
      <x:c r="D53" s="73" t="n">
        <x:v>0</x:v>
      </x:c>
      <x:c r="E53" s="73" t="n">
        <x:v>1.4941565990447998</x:v>
      </x:c>
      <x:c r="F53" s="73" t="n">
        <x:v>1.4941565990447998</x:v>
      </x:c>
      <x:c r="G53" s="48" t="n">
        <x:v>0</x:v>
      </x:c>
      <x:c r="H53" s="50" t="n">
        <x:v>0.1201885342597961</x:v>
      </x:c>
      <x:c r="I53" s="48" t="n">
        <x:v>0</x:v>
      </x:c>
    </x:row>
    <x:row r="54">
      <x:c r="A54" s="48" t="str">
        <x:v>CT0090_A1_012</x:v>
      </x:c>
      <x:c r="B54" s="48" t="str">
        <x:v>CT0090</x:v>
      </x:c>
      <x:c r="C54" s="48" t="str">
        <x:v>Canakinumab</x:v>
      </x:c>
      <x:c r="D54" s="73" t="n">
        <x:v>0</x:v>
      </x:c>
      <x:c r="E54" s="73" t="n">
        <x:v>1.4941565990447998</x:v>
      </x:c>
      <x:c r="F54" s="73" t="n">
        <x:v>1.4941565990447998</x:v>
      </x:c>
      <x:c r="G54" s="48" t="n">
        <x:v>0</x:v>
      </x:c>
      <x:c r="H54" s="50" t="n">
        <x:v>0.1201885342597961</x:v>
      </x:c>
      <x:c r="I54" s="48" t="n">
        <x:v>0</x:v>
      </x:c>
    </x:row>
    <x:row r="55">
      <x:c r="A55" s="48" t="str">
        <x:v>CT0090_A1_013</x:v>
      </x:c>
      <x:c r="B55" s="48" t="str">
        <x:v>CT0090</x:v>
      </x:c>
      <x:c r="C55" s="48" t="str">
        <x:v>Canakinumab</x:v>
      </x:c>
      <x:c r="D55" s="73" t="n">
        <x:v>0</x:v>
      </x:c>
      <x:c r="E55" s="73" t="n">
        <x:v>1.4998729228973389</x:v>
      </x:c>
      <x:c r="F55" s="73" t="n">
        <x:v>1.4998729228973389</x:v>
      </x:c>
      <x:c r="G55" s="48" t="n">
        <x:v>0</x:v>
      </x:c>
      <x:c r="H55" s="50" t="n">
        <x:v>0.1176590919494628</x:v>
      </x:c>
      <x:c r="I55" s="48" t="n">
        <x:v>0</x:v>
      </x:c>
    </x:row>
    <x:row r="56">
      <x:c r="A56" s="48" t="str">
        <x:v>CT0090_A1_014</x:v>
      </x:c>
      <x:c r="B56" s="48" t="str">
        <x:v>CT0090</x:v>
      </x:c>
      <x:c r="C56" s="48" t="str">
        <x:v>Canakinumab</x:v>
      </x:c>
      <x:c r="D56" s="73" t="n">
        <x:v>0</x:v>
      </x:c>
      <x:c r="E56" s="73" t="n">
        <x:v>1.4998729228973389</x:v>
      </x:c>
      <x:c r="F56" s="73" t="n">
        <x:v>1.4998729228973389</x:v>
      </x:c>
      <x:c r="G56" s="48" t="n">
        <x:v>0</x:v>
      </x:c>
      <x:c r="H56" s="50" t="n">
        <x:v>0.1176590919494628</x:v>
      </x:c>
      <x:c r="I56" s="48" t="n">
        <x:v>0</x:v>
      </x:c>
    </x:row>
    <x:row r="57">
      <x:c r="A57" s="48" t="str">
        <x:v>CT0090_A1_015</x:v>
      </x:c>
      <x:c r="B57" s="48" t="str">
        <x:v>CT0090</x:v>
      </x:c>
      <x:c r="C57" s="48" t="str">
        <x:v>Canakinumab</x:v>
      </x:c>
      <x:c r="D57" s="73" t="n">
        <x:v>0</x:v>
      </x:c>
      <x:c r="E57" s="73" t="n">
        <x:v>1.4963635206222534</x:v>
      </x:c>
      <x:c r="F57" s="73" t="n">
        <x:v>1.4963635206222534</x:v>
      </x:c>
      <x:c r="G57" s="48" t="n">
        <x:v>0</x:v>
      </x:c>
      <x:c r="H57" s="50" t="n">
        <x:v>0.1109381541609764</x:v>
      </x:c>
      <x:c r="I57" s="48" t="n">
        <x:v>0</x:v>
      </x:c>
    </x:row>
    <x:row r="58">
      <x:c r="A58" s="48" t="str">
        <x:v>CT0090_A1_016</x:v>
      </x:c>
      <x:c r="B58" s="48" t="str">
        <x:v>CT0090</x:v>
      </x:c>
      <x:c r="C58" s="48" t="str">
        <x:v>Canakinumab</x:v>
      </x:c>
      <x:c r="D58" s="73" t="n">
        <x:v>0</x:v>
      </x:c>
      <x:c r="E58" s="73" t="n">
        <x:v>1.4963635206222534</x:v>
      </x:c>
      <x:c r="F58" s="73" t="n">
        <x:v>1.4963635206222534</x:v>
      </x:c>
      <x:c r="G58" s="48" t="n">
        <x:v>0</x:v>
      </x:c>
      <x:c r="H58" s="50" t="n">
        <x:v>0.1109381541609764</x:v>
      </x:c>
      <x:c r="I58" s="48" t="n">
        <x:v>0</x:v>
      </x:c>
    </x:row>
    <x:row r="59">
      <x:c r="A59" s="48" t="str">
        <x:v>CT0056_A2_002</x:v>
      </x:c>
      <x:c r="B59" s="48" t="str">
        <x:v>CT0056</x:v>
      </x:c>
      <x:c r="C59" s="48" t="str">
        <x:v>Reslizumab</x:v>
      </x:c>
      <x:c r="D59" s="73" t="n">
        <x:v>8.333333333</x:v>
      </x:c>
      <x:c r="E59" s="73" t="n">
        <x:v>26.14617156982422</x:v>
      </x:c>
      <x:c r="F59" s="73" t="n">
        <x:v>26.14617156982422</x:v>
      </x:c>
      <x:c r="G59" s="48" t="n">
        <x:v>0</x:v>
      </x:c>
      <x:c r="H59" s="50" t="n">
        <x:v>0.4144464135169983</x:v>
      </x:c>
      <x:c r="I59" s="48" t="n">
        <x:v>0</x:v>
      </x:c>
    </x:row>
    <x:row r="60">
      <x:c r="A60" s="48" t="str">
        <x:v>CT0056_A3_002</x:v>
      </x:c>
      <x:c r="B60" s="48" t="str">
        <x:v>CT0056</x:v>
      </x:c>
      <x:c r="C60" s="48" t="str">
        <x:v>Reslizumab</x:v>
      </x:c>
      <x:c r="D60" s="73" t="n">
        <x:v>8.333333333</x:v>
      </x:c>
      <x:c r="E60" s="73" t="n">
        <x:v>14.69250202178955</x:v>
      </x:c>
      <x:c r="F60" s="73" t="n">
        <x:v>14.69250202178955</x:v>
      </x:c>
      <x:c r="G60" s="48" t="n">
        <x:v>0</x:v>
      </x:c>
      <x:c r="H60" s="50" t="n">
        <x:v>0.3613132834434509</x:v>
      </x:c>
      <x:c r="I60" s="48" t="n">
        <x:v>0</x:v>
      </x:c>
    </x:row>
    <x:row r="61">
      <x:c r="A61" s="48" t="str">
        <x:v>CT0101_A1_001</x:v>
      </x:c>
      <x:c r="B61" s="48" t="str">
        <x:v>CT0101</x:v>
      </x:c>
      <x:c r="C61" s="48" t="str">
        <x:v>Tralokinumab</x:v>
      </x:c>
      <x:c r="D61" s="73" t="n">
        <x:v>0</x:v>
      </x:c>
      <x:c r="E61" s="73" t="n">
        <x:v>0.6933221817016602</x:v>
      </x:c>
      <x:c r="F61" s="73" t="n">
        <x:v>0.6933221817016602</x:v>
      </x:c>
      <x:c r="G61" s="48" t="n">
        <x:v>0</x:v>
      </x:c>
      <x:c r="H61" s="50" t="n">
        <x:v>0.0598465390503406</x:v>
      </x:c>
      <x:c r="I61" s="48" t="n">
        <x:v>0</x:v>
      </x:c>
    </x:row>
    <x:row r="62">
      <x:c r="A62" s="48" t="str">
        <x:v>CT0101_A2_001</x:v>
      </x:c>
      <x:c r="B62" s="48" t="str">
        <x:v>CT0101</x:v>
      </x:c>
      <x:c r="C62" s="48" t="str">
        <x:v>Tralokinumab</x:v>
      </x:c>
      <x:c r="D62" s="73" t="n">
        <x:v>0</x:v>
      </x:c>
      <x:c r="E62" s="73" t="n">
        <x:v>1.2039060592651367</x:v>
      </x:c>
      <x:c r="F62" s="73" t="n">
        <x:v>1.2039060592651367</x:v>
      </x:c>
      <x:c r="G62" s="48" t="n">
        <x:v>0</x:v>
      </x:c>
      <x:c r="H62" s="50" t="n">
        <x:v>0.0393030866980552</x:v>
      </x:c>
      <x:c r="I62" s="48" t="n">
        <x:v>0</x:v>
      </x:c>
    </x:row>
    <x:row r="63">
      <x:c r="A63" s="48" t="str">
        <x:v>CT0101_A3_001</x:v>
      </x:c>
      <x:c r="B63" s="48" t="str">
        <x:v>CT0101</x:v>
      </x:c>
      <x:c r="C63" s="48" t="str">
        <x:v>Tralokinumab</x:v>
      </x:c>
      <x:c r="D63" s="73" t="n">
        <x:v>0</x:v>
      </x:c>
      <x:c r="E63" s="73" t="n">
        <x:v>1.3295927047729492</x:v>
      </x:c>
      <x:c r="F63" s="73" t="n">
        <x:v>1.3295927047729492</x:v>
      </x:c>
      <x:c r="G63" s="48" t="n">
        <x:v>0</x:v>
      </x:c>
      <x:c r="H63" s="50" t="n">
        <x:v>0.0438951104879379</x:v>
      </x:c>
      <x:c r="I63" s="48" t="n">
        <x:v>0</x:v>
      </x:c>
    </x:row>
    <x:row r="64">
      <x:c r="A64" s="48" t="str">
        <x:v>CT0115_A1_002</x:v>
      </x:c>
      <x:c r="B64" s="48" t="str">
        <x:v>CT0115</x:v>
      </x:c>
      <x:c r="C64" s="48" t="str">
        <x:v>Benralizumab</x:v>
      </x:c>
      <x:c r="D64" s="73" t="n">
        <x:v>5.7</x:v>
      </x:c>
      <x:c r="E64" s="73" t="n">
        <x:v>5.577900409698486</x:v>
      </x:c>
      <x:c r="F64" s="73" t="n">
        <x:v>5.577900409698486</x:v>
      </x:c>
      <x:c r="G64" s="48" t="n">
        <x:v>0</x:v>
      </x:c>
      <x:c r="H64" s="50" t="n">
        <x:v>0.3287737667560577</x:v>
      </x:c>
      <x:c r="I64" s="48" t="n">
        <x:v>0</x:v>
      </x:c>
    </x:row>
    <x:row r="65">
      <x:c r="A65" s="48" t="str">
        <x:v>CT0115_A2_002</x:v>
      </x:c>
      <x:c r="B65" s="48" t="str">
        <x:v>CT0115</x:v>
      </x:c>
      <x:c r="C65" s="48" t="str">
        <x:v>Benralizumab</x:v>
      </x:c>
      <x:c r="D65" s="73" t="n">
        <x:v>13.3</x:v>
      </x:c>
      <x:c r="E65" s="73" t="n">
        <x:v>5.302637577056885</x:v>
      </x:c>
      <x:c r="F65" s="73" t="n">
        <x:v>5.302637577056885</x:v>
      </x:c>
      <x:c r="G65" s="48" t="n">
        <x:v>1</x:v>
      </x:c>
      <x:c r="H65" s="50" t="n">
        <x:v>0.2769970595836639</x:v>
      </x:c>
      <x:c r="I65" s="48" t="n">
        <x:v>0</x:v>
      </x:c>
    </x:row>
    <x:row r="66">
      <x:c r="A66" s="48" t="str">
        <x:v>CT0118_A1_003</x:v>
      </x:c>
      <x:c r="B66" s="48" t="str">
        <x:v>CT0118</x:v>
      </x:c>
      <x:c r="C66" s="48" t="str">
        <x:v>Tanezumab</x:v>
      </x:c>
      <x:c r="D66" s="73" t="n">
        <x:v>0</x:v>
      </x:c>
      <x:c r="E66" s="73" t="n">
        <x:v>0.0442165620625019</x:v>
      </x:c>
      <x:c r="F66" s="73" t="n">
        <x:v>0.0442165620625019</x:v>
      </x:c>
      <x:c r="G66" s="48" t="n">
        <x:v>0</x:v>
      </x:c>
      <x:c r="H66" s="50" t="n">
        <x:v>0.0013674449874088</x:v>
      </x:c>
      <x:c r="I66" s="48" t="n">
        <x:v>0</x:v>
      </x:c>
    </x:row>
    <x:row r="67">
      <x:c r="A67" s="48" t="str">
        <x:v>CT0118_A1_004</x:v>
      </x:c>
      <x:c r="B67" s="48" t="str">
        <x:v>CT0118</x:v>
      </x:c>
      <x:c r="C67" s="48" t="str">
        <x:v>Tanezumab</x:v>
      </x:c>
      <x:c r="D67" s="73" t="n">
        <x:v>0</x:v>
      </x:c>
      <x:c r="E67" s="73" t="n">
        <x:v>0.0367510616779327</x:v>
      </x:c>
      <x:c r="F67" s="73" t="n">
        <x:v>0.0367510616779327</x:v>
      </x:c>
      <x:c r="G67" s="48" t="n">
        <x:v>0</x:v>
      </x:c>
      <x:c r="H67" s="50" t="n">
        <x:v>0.0012488680658861</x:v>
      </x:c>
      <x:c r="I67" s="48" t="n">
        <x:v>0</x:v>
      </x:c>
    </x:row>
    <x:row r="68">
      <x:c r="A68" s="48" t="str">
        <x:v>CT0118_A1_005</x:v>
      </x:c>
      <x:c r="B68" s="48" t="str">
        <x:v>CT0118</x:v>
      </x:c>
      <x:c r="C68" s="48" t="str">
        <x:v>Tanezumab</x:v>
      </x:c>
      <x:c r="D68" s="73" t="n">
        <x:v>0</x:v>
      </x:c>
      <x:c r="E68" s="73" t="n">
        <x:v>0.0449208542704582</x:v>
      </x:c>
      <x:c r="F68" s="73" t="n">
        <x:v>0.0449208542704582</x:v>
      </x:c>
      <x:c r="G68" s="48" t="n">
        <x:v>0</x:v>
      </x:c>
      <x:c r="H68" s="50" t="n">
        <x:v>0.0011942134005948</x:v>
      </x:c>
      <x:c r="I68" s="48" t="n">
        <x:v>0</x:v>
      </x:c>
    </x:row>
    <x:row r="69">
      <x:c r="A69" s="48" t="str">
        <x:v>CT0121_A1_001</x:v>
      </x:c>
      <x:c r="B69" s="48" t="str">
        <x:v>CT0121</x:v>
      </x:c>
      <x:c r="C69" s="48" t="str">
        <x:v>Infliximab</x:v>
      </x:c>
      <x:c r="D69" s="73" t="n">
        <x:v>5.1</x:v>
      </x:c>
      <x:c r="E69" s="73" t="n">
        <x:v>13.727981567382812</x:v>
      </x:c>
      <x:c r="F69" s="73" t="n">
        <x:v>13.727981567382812</x:v>
      </x:c>
      <x:c r="G69" s="48" t="n">
        <x:v>0</x:v>
      </x:c>
      <x:c r="H69" s="50" t="n">
        <x:v>0.5554941892623901</x:v>
      </x:c>
      <x:c r="I69" s="48" t="n">
        <x:v>1</x:v>
      </x:c>
    </x:row>
    <x:row r="70">
      <x:c r="A70" s="48" t="str">
        <x:v>CT0121_A1_002</x:v>
      </x:c>
      <x:c r="B70" s="48" t="str">
        <x:v>CT0121</x:v>
      </x:c>
      <x:c r="C70" s="48" t="str">
        <x:v>Infliximab</x:v>
      </x:c>
      <x:c r="D70" s="73" t="n">
        <x:v>5.1</x:v>
      </x:c>
      <x:c r="E70" s="73" t="n">
        <x:v>11.906899452209473</x:v>
      </x:c>
      <x:c r="F70" s="73" t="n">
        <x:v>11.906899452209473</x:v>
      </x:c>
      <x:c r="G70" s="48" t="n">
        <x:v>0</x:v>
      </x:c>
      <x:c r="H70" s="50" t="n">
        <x:v>0.5110793709754944</x:v>
      </x:c>
      <x:c r="I70" s="48" t="n">
        <x:v>1</x:v>
      </x:c>
    </x:row>
    <x:row r="71">
      <x:c r="A71" s="48" t="str">
        <x:v>CT0125_A1_001</x:v>
      </x:c>
      <x:c r="B71" s="48" t="str">
        <x:v>CT0125</x:v>
      </x:c>
      <x:c r="C71" s="48" t="str">
        <x:v>Omalizumab</x:v>
      </x:c>
      <x:c r="D71" s="73" t="n">
        <x:v>0</x:v>
      </x:c>
      <x:c r="E71" s="73" t="n">
        <x:v>12.398963928222656</x:v>
      </x:c>
      <x:c r="F71" s="73" t="n">
        <x:v>12.398963928222656</x:v>
      </x:c>
      <x:c r="G71" s="48" t="n">
        <x:v>0</x:v>
      </x:c>
      <x:c r="H71" s="50" t="n">
        <x:v>0.1957202553749084</x:v>
      </x:c>
      <x:c r="I71" s="48" t="n">
        <x:v>0</x:v>
      </x:c>
    </x:row>
    <x:row r="72">
      <x:c r="A72" s="48" t="str">
        <x:v>CT0125_A2_001</x:v>
      </x:c>
      <x:c r="B72" s="48" t="str">
        <x:v>CT0125</x:v>
      </x:c>
      <x:c r="C72" s="48" t="str">
        <x:v>Omalizumab</x:v>
      </x:c>
      <x:c r="D72" s="73" t="n">
        <x:v>0</x:v>
      </x:c>
      <x:c r="E72" s="73" t="n">
        <x:v>14.86643123626709</x:v>
      </x:c>
      <x:c r="F72" s="73" t="n">
        <x:v>14.86643123626709</x:v>
      </x:c>
      <x:c r="G72" s="48" t="n">
        <x:v>0</x:v>
      </x:c>
      <x:c r="H72" s="50" t="n">
        <x:v>0.2289467900991439</x:v>
      </x:c>
      <x:c r="I72" s="48" t="n">
        <x:v>0</x:v>
      </x:c>
    </x:row>
    <x:row r="73">
      <x:c r="A73" s="48" t="str">
        <x:v>CT0125_A3_001</x:v>
      </x:c>
      <x:c r="B73" s="48" t="str">
        <x:v>CT0125</x:v>
      </x:c>
      <x:c r="C73" s="48" t="str">
        <x:v>Omalizumab</x:v>
      </x:c>
      <x:c r="D73" s="73" t="n">
        <x:v>0</x:v>
      </x:c>
      <x:c r="E73" s="73" t="n">
        <x:v>13.122952461242676</x:v>
      </x:c>
      <x:c r="F73" s="73" t="n">
        <x:v>13.122952461242676</x:v>
      </x:c>
      <x:c r="G73" s="48" t="n">
        <x:v>0</x:v>
      </x:c>
      <x:c r="H73" s="50" t="n">
        <x:v>0.2299631685018539</x:v>
      </x:c>
      <x:c r="I73" s="48" t="n">
        <x:v>0</x:v>
      </x:c>
    </x:row>
    <x:row r="74">
      <x:c r="A74" s="48" t="str">
        <x:v>CT0125_A4_001</x:v>
      </x:c>
      <x:c r="B74" s="48" t="str">
        <x:v>CT0125</x:v>
      </x:c>
      <x:c r="C74" s="48" t="str">
        <x:v>Omalizumab</x:v>
      </x:c>
      <x:c r="D74" s="73" t="n">
        <x:v>0</x:v>
      </x:c>
      <x:c r="E74" s="73" t="n">
        <x:v>16.782958984375</x:v>
      </x:c>
      <x:c r="F74" s="73" t="n">
        <x:v>16.782958984375</x:v>
      </x:c>
      <x:c r="G74" s="48" t="n">
        <x:v>0</x:v>
      </x:c>
      <x:c r="H74" s="50" t="n">
        <x:v>0.2677315771579742</x:v>
      </x:c>
      <x:c r="I74" s="48" t="n">
        <x:v>0</x:v>
      </x:c>
    </x:row>
    <x:row r="75">
      <x:c r="A75" s="48" t="str">
        <x:v>CT0138_A1_001</x:v>
      </x:c>
      <x:c r="B75" s="48" t="str">
        <x:v>CT0138</x:v>
      </x:c>
      <x:c r="C75" s="48" t="str">
        <x:v>Panitumumab</x:v>
      </x:c>
      <x:c r="D75" s="73" t="n">
        <x:v>0</x:v>
      </x:c>
      <x:c r="E75" s="73" t="n">
        <x:v>4.927491188049316</x:v>
      </x:c>
      <x:c r="F75" s="73" t="n">
        <x:v>4.927491188049316</x:v>
      </x:c>
      <x:c r="G75" s="48" t="n">
        <x:v>0</x:v>
      </x:c>
      <x:c r="H75" s="50" t="n">
        <x:v>0.0661129057407379</x:v>
      </x:c>
      <x:c r="I75" s="48" t="n">
        <x:v>0</x:v>
      </x:c>
    </x:row>
    <x:row r="76">
      <x:c r="A76" s="48" t="str">
        <x:v>CT0158_A1_002</x:v>
      </x:c>
      <x:c r="B76" s="48" t="str">
        <x:v>CT0158</x:v>
      </x:c>
      <x:c r="C76" s="48" t="str">
        <x:v>Ipilimumab</x:v>
      </x:c>
      <x:c r="D76" s="73" t="n">
        <x:v>7.692307692</x:v>
      </x:c>
      <x:c r="E76" s="73" t="n">
        <x:v>6.765922546386719</x:v>
      </x:c>
      <x:c r="F76" s="73" t="n">
        <x:v>6.765922546386719</x:v>
      </x:c>
      <x:c r="G76" s="48" t="n">
        <x:v>0</x:v>
      </x:c>
      <x:c r="H76" s="50" t="n">
        <x:v>0.2777724266052246</x:v>
      </x:c>
      <x:c r="I76" s="48" t="n">
        <x:v>0</x:v>
      </x:c>
    </x:row>
    <x:row r="77">
      <x:c r="A77" s="48" t="str">
        <x:v>CT0158_A2_002</x:v>
      </x:c>
      <x:c r="B77" s="48" t="str">
        <x:v>CT0158</x:v>
      </x:c>
      <x:c r="C77" s="48" t="str">
        <x:v>Ipilimumab</x:v>
      </x:c>
      <x:c r="D77" s="73" t="n">
        <x:v>0</x:v>
      </x:c>
      <x:c r="E77" s="73" t="n">
        <x:v>6.149823188781738</x:v>
      </x:c>
      <x:c r="F77" s="73" t="n">
        <x:v>6.149823188781738</x:v>
      </x:c>
      <x:c r="G77" s="48" t="n">
        <x:v>0</x:v>
      </x:c>
      <x:c r="H77" s="50" t="n">
        <x:v>0.2638313174247741</x:v>
      </x:c>
      <x:c r="I77" s="48" t="n">
        <x:v>0</x:v>
      </x:c>
    </x:row>
    <x:row r="78">
      <x:c r="A78" s="48" t="str">
        <x:v>CT0158_A3_002</x:v>
      </x:c>
      <x:c r="B78" s="48" t="str">
        <x:v>CT0158</x:v>
      </x:c>
      <x:c r="C78" s="48" t="str">
        <x:v>Ipilimumab</x:v>
      </x:c>
      <x:c r="D78" s="73" t="n">
        <x:v>0</x:v>
      </x:c>
      <x:c r="E78" s="73" t="n">
        <x:v>5.86630916595459</x:v>
      </x:c>
      <x:c r="F78" s="73" t="n">
        <x:v>5.86630916595459</x:v>
      </x:c>
      <x:c r="G78" s="48" t="n">
        <x:v>0</x:v>
      </x:c>
      <x:c r="H78" s="50" t="n">
        <x:v>0.2487670183181762</x:v>
      </x:c>
      <x:c r="I78" s="48" t="n">
        <x:v>0</x:v>
      </x:c>
    </x:row>
    <x:row r="79">
      <x:c r="A79" s="48" t="str">
        <x:v>CT0158_A4_002</x:v>
      </x:c>
      <x:c r="B79" s="48" t="str">
        <x:v>CT0158</x:v>
      </x:c>
      <x:c r="C79" s="48" t="str">
        <x:v>Ipilimumab</x:v>
      </x:c>
      <x:c r="D79" s="73" t="n">
        <x:v>0</x:v>
      </x:c>
      <x:c r="E79" s="73" t="n">
        <x:v>7.546136856079102</x:v>
      </x:c>
      <x:c r="F79" s="73" t="n">
        <x:v>7.546136856079102</x:v>
      </x:c>
      <x:c r="G79" s="48" t="n">
        <x:v>0</x:v>
      </x:c>
      <x:c r="H79" s="50" t="n">
        <x:v>0.2618187665939331</x:v>
      </x:c>
      <x:c r="I79" s="48" t="n">
        <x:v>0</x:v>
      </x:c>
    </x:row>
    <x:row r="80">
      <x:c r="A80" s="48" t="str">
        <x:v>CT0158_A7_002</x:v>
      </x:c>
      <x:c r="B80" s="48" t="str">
        <x:v>CT0158</x:v>
      </x:c>
      <x:c r="C80" s="48" t="str">
        <x:v>Ipilimumab</x:v>
      </x:c>
      <x:c r="D80" s="73" t="n">
        <x:v>3.125</x:v>
      </x:c>
      <x:c r="E80" s="73" t="n">
        <x:v>5.875253677368164</x:v>
      </x:c>
      <x:c r="F80" s="73" t="n">
        <x:v>5.875253677368164</x:v>
      </x:c>
      <x:c r="G80" s="48" t="n">
        <x:v>0</x:v>
      </x:c>
      <x:c r="H80" s="50" t="n">
        <x:v>0.2284926027059555</x:v>
      </x:c>
      <x:c r="I80" s="48" t="n">
        <x:v>0</x:v>
      </x:c>
    </x:row>
    <x:row r="81">
      <x:c r="A81" s="48" t="str">
        <x:v>CT0158_A1_004</x:v>
      </x:c>
      <x:c r="B81" s="48" t="str">
        <x:v>CT0158</x:v>
      </x:c>
      <x:c r="C81" s="48" t="str">
        <x:v>Nivolumab</x:v>
      </x:c>
      <x:c r="D81" s="73" t="n">
        <x:v>46.15384615</x:v>
      </x:c>
      <x:c r="E81" s="73" t="n">
        <x:v>14.576190948486328</x:v>
      </x:c>
      <x:c r="F81" s="73" t="n">
        <x:v>14.576190948486328</x:v>
      </x:c>
      <x:c r="G81" s="48" t="n">
        <x:v>1</x:v>
      </x:c>
      <x:c r="H81" s="50" t="n">
        <x:v>0.7577676773071289</x:v>
      </x:c>
      <x:c r="I81" s="48" t="n">
        <x:v>1</x:v>
      </x:c>
    </x:row>
    <x:row r="82">
      <x:c r="A82" s="48" t="str">
        <x:v>CT0158_A2_004</x:v>
      </x:c>
      <x:c r="B82" s="48" t="str">
        <x:v>CT0158</x:v>
      </x:c>
      <x:c r="C82" s="48" t="str">
        <x:v>Nivolumab</x:v>
      </x:c>
      <x:c r="D82" s="73" t="n">
        <x:v>58.82352941</x:v>
      </x:c>
      <x:c r="E82" s="73" t="n">
        <x:v>12.452709197998049</x:v>
      </x:c>
      <x:c r="F82" s="73" t="n">
        <x:v>12.452709197998049</x:v>
      </x:c>
      <x:c r="G82" s="48" t="n">
        <x:v>1</x:v>
      </x:c>
      <x:c r="H82" s="50" t="n">
        <x:v>0.736725926399231</x:v>
      </x:c>
      <x:c r="I82" s="48" t="n">
        <x:v>1</x:v>
      </x:c>
    </x:row>
    <x:row r="83">
      <x:c r="A83" s="48" t="str">
        <x:v>CT0158_A3_004</x:v>
      </x:c>
      <x:c r="B83" s="48" t="str">
        <x:v>CT0158</x:v>
      </x:c>
      <x:c r="C83" s="48" t="str">
        <x:v>Nivolumab</x:v>
      </x:c>
      <x:c r="D83" s="73" t="n">
        <x:v>25</x:v>
      </x:c>
      <x:c r="E83" s="73" t="n">
        <x:v>12.423826217651367</x:v>
      </x:c>
      <x:c r="F83" s="73" t="n">
        <x:v>12.423826217651367</x:v>
      </x:c>
      <x:c r="G83" s="48" t="n">
        <x:v>1</x:v>
      </x:c>
      <x:c r="H83" s="50" t="n">
        <x:v>0.702786386013031</x:v>
      </x:c>
      <x:c r="I83" s="48" t="n">
        <x:v>1</x:v>
      </x:c>
    </x:row>
    <x:row r="84">
      <x:c r="A84" s="48" t="str">
        <x:v>CT0158_A4_004</x:v>
      </x:c>
      <x:c r="B84" s="48" t="str">
        <x:v>CT0158</x:v>
      </x:c>
      <x:c r="C84" s="48" t="str">
        <x:v>Nivolumab</x:v>
      </x:c>
      <x:c r="D84" s="73" t="n">
        <x:v>0</x:v>
      </x:c>
      <x:c r="E84" s="73" t="n">
        <x:v>19.638744354248047</x:v>
      </x:c>
      <x:c r="F84" s="73" t="n">
        <x:v>19.638744354248047</x:v>
      </x:c>
      <x:c r="G84" s="48" t="n">
        <x:v>0</x:v>
      </x:c>
      <x:c r="H84" s="50" t="n">
        <x:v>0.5784875154495239</x:v>
      </x:c>
      <x:c r="I84" s="48" t="n">
        <x:v>1</x:v>
      </x:c>
    </x:row>
    <x:row r="85">
      <x:c r="A85" s="48" t="str">
        <x:v>CT0158_A8_002</x:v>
      </x:c>
      <x:c r="B85" s="48" t="str">
        <x:v>CT0158</x:v>
      </x:c>
      <x:c r="C85" s="48" t="str">
        <x:v>Nivolumab</x:v>
      </x:c>
      <x:c r="D85" s="73" t="n">
        <x:v>26.66666667</x:v>
      </x:c>
      <x:c r="E85" s="73" t="n">
        <x:v>13.557084083557127</x:v>
      </x:c>
      <x:c r="F85" s="73" t="n">
        <x:v>13.557084083557127</x:v>
      </x:c>
      <x:c r="G85" s="48" t="n">
        <x:v>1</x:v>
      </x:c>
      <x:c r="H85" s="50" t="n">
        <x:v>0.7440280914306641</x:v>
      </x:c>
      <x:c r="I85" s="48" t="n">
        <x:v>1</x:v>
      </x:c>
    </x:row>
    <x:row r="86">
      <x:c r="A86" s="48" t="str">
        <x:v>CT0158_A9_002</x:v>
      </x:c>
      <x:c r="B86" s="48" t="str">
        <x:v>CT0158</x:v>
      </x:c>
      <x:c r="C86" s="48" t="str">
        <x:v>Nivolumab</x:v>
      </x:c>
      <x:c r="D86" s="73" t="n">
        <x:v>8.333333333</x:v>
      </x:c>
      <x:c r="E86" s="73" t="n">
        <x:v>14.066811561584473</x:v>
      </x:c>
      <x:c r="F86" s="73" t="n">
        <x:v>14.066811561584473</x:v>
      </x:c>
      <x:c r="G86" s="48" t="n">
        <x:v>0</x:v>
      </x:c>
      <x:c r="H86" s="50" t="n">
        <x:v>0.7122990489006042</x:v>
      </x:c>
      <x:c r="I86" s="48" t="n">
        <x:v>1</x:v>
      </x:c>
    </x:row>
    <x:row r="87">
      <x:c r="A87" s="48" t="str">
        <x:v>CT0158_A7_004</x:v>
      </x:c>
      <x:c r="B87" s="48" t="str">
        <x:v>CT0158</x:v>
      </x:c>
      <x:c r="C87" s="48" t="str">
        <x:v>Nivolumab</x:v>
      </x:c>
      <x:c r="D87" s="73" t="n">
        <x:v>28.57142857</x:v>
      </x:c>
      <x:c r="E87" s="73" t="n">
        <x:v>9.07370662689209</x:v>
      </x:c>
      <x:c r="F87" s="73" t="n">
        <x:v>9.07370662689209</x:v>
      </x:c>
      <x:c r="G87" s="48" t="n">
        <x:v>1</x:v>
      </x:c>
      <x:c r="H87" s="50" t="n">
        <x:v>0.5300281047821045</x:v>
      </x:c>
      <x:c r="I87" s="48" t="n">
        <x:v>1</x:v>
      </x:c>
    </x:row>
    <x:row r="88">
      <x:c r="A88" s="48" t="str">
        <x:v>CT0165_A1_001</x:v>
      </x:c>
      <x:c r="B88" s="48" t="str">
        <x:v>CT0165</x:v>
      </x:c>
      <x:c r="C88" s="48" t="str">
        <x:v>Cetuximab</x:v>
      </x:c>
      <x:c r="D88" s="73" t="n">
        <x:v>4.705882353</x:v>
      </x:c>
      <x:c r="E88" s="73" t="n">
        <x:v>3.1395909786224365</x:v>
      </x:c>
      <x:c r="F88" s="73" t="n">
        <x:v>3.1395909786224365</x:v>
      </x:c>
      <x:c r="G88" s="48" t="n">
        <x:v>0</x:v>
      </x:c>
      <x:c r="H88" s="50" t="n">
        <x:v>0.0354793407022953</x:v>
      </x:c>
      <x:c r="I88" s="48" t="n">
        <x:v>0</x:v>
      </x:c>
    </x:row>
    <x:row r="89">
      <x:c r="A89" s="48" t="str">
        <x:v>CT0166_A1_001</x:v>
      </x:c>
      <x:c r="B89" s="48" t="str">
        <x:v>CT0166</x:v>
      </x:c>
      <x:c r="C89" s="48" t="str">
        <x:v>Isatuximab</x:v>
      </x:c>
      <x:c r="D89" s="73" t="n">
        <x:v>12.5</x:v>
      </x:c>
      <x:c r="E89" s="73" t="n">
        <x:v>5.0238447189331055</x:v>
      </x:c>
      <x:c r="F89" s="73" t="n">
        <x:v>5.0238447189331055</x:v>
      </x:c>
      <x:c r="G89" s="48" t="n">
        <x:v>1</x:v>
      </x:c>
      <x:c r="H89" s="50" t="n">
        <x:v>0.2282337546348571</x:v>
      </x:c>
      <x:c r="I89" s="48" t="n">
        <x:v>0</x:v>
      </x:c>
    </x:row>
    <x:row r="90">
      <x:c r="A90" s="48" t="str">
        <x:v>CT0166_A2_001</x:v>
      </x:c>
      <x:c r="B90" s="48" t="str">
        <x:v>CT0166</x:v>
      </x:c>
      <x:c r="C90" s="48" t="str">
        <x:v>Isatuximab</x:v>
      </x:c>
      <x:c r="D90" s="73" t="n">
        <x:v>0</x:v>
      </x:c>
      <x:c r="E90" s="73" t="n">
        <x:v>6.433133602142334</x:v>
      </x:c>
      <x:c r="F90" s="73" t="n">
        <x:v>6.433133602142334</x:v>
      </x:c>
      <x:c r="G90" s="48" t="n">
        <x:v>0</x:v>
      </x:c>
      <x:c r="H90" s="50" t="n">
        <x:v>0.2400783896446228</x:v>
      </x:c>
      <x:c r="I90" s="48" t="n">
        <x:v>0</x:v>
      </x:c>
    </x:row>
    <x:row r="91">
      <x:c r="A91" s="48" t="str">
        <x:v>CT0166_A3_001</x:v>
      </x:c>
      <x:c r="B91" s="48" t="str">
        <x:v>CT0166</x:v>
      </x:c>
      <x:c r="C91" s="48" t="str">
        <x:v>Isatuximab</x:v>
      </x:c>
      <x:c r="D91" s="73" t="n">
        <x:v>0</x:v>
      </x:c>
      <x:c r="E91" s="73" t="n">
        <x:v>3.3886947631835938</x:v>
      </x:c>
      <x:c r="F91" s="73" t="n">
        <x:v>3.3886947631835938</x:v>
      </x:c>
      <x:c r="G91" s="48" t="n">
        <x:v>0</x:v>
      </x:c>
      <x:c r="H91" s="50" t="n">
        <x:v>0.1875518709421157</x:v>
      </x:c>
      <x:c r="I91" s="48" t="n">
        <x:v>0</x:v>
      </x:c>
    </x:row>
    <x:row r="92">
      <x:c r="A92" s="48" t="str">
        <x:v>CT0166_A4_001</x:v>
      </x:c>
      <x:c r="B92" s="48" t="str">
        <x:v>CT0166</x:v>
      </x:c>
      <x:c r="C92" s="48" t="str">
        <x:v>Isatuximab</x:v>
      </x:c>
      <x:c r="D92" s="73" t="n">
        <x:v>3.8</x:v>
      </x:c>
      <x:c r="E92" s="73" t="n">
        <x:v>3.146254539489746</x:v>
      </x:c>
      <x:c r="F92" s="73" t="n">
        <x:v>3.146254539489746</x:v>
      </x:c>
      <x:c r="G92" s="48" t="n">
        <x:v>0</x:v>
      </x:c>
      <x:c r="H92" s="50" t="n">
        <x:v>0.1690953373908996</x:v>
      </x:c>
      <x:c r="I92" s="48" t="n">
        <x:v>0</x:v>
      </x:c>
    </x:row>
    <x:row r="93">
      <x:c r="A93" s="48" t="str">
        <x:v>CT0166_A5_001</x:v>
      </x:c>
      <x:c r="B93" s="48" t="str">
        <x:v>CT0166</x:v>
      </x:c>
      <x:c r="C93" s="48" t="str">
        <x:v>Isatuximab</x:v>
      </x:c>
      <x:c r="D93" s="73" t="n">
        <x:v>5.6</x:v>
      </x:c>
      <x:c r="E93" s="73" t="n">
        <x:v>3.503213405609131</x:v>
      </x:c>
      <x:c r="F93" s="73" t="n">
        <x:v>3.503213405609131</x:v>
      </x:c>
      <x:c r="G93" s="48" t="n">
        <x:v>0</x:v>
      </x:c>
      <x:c r="H93" s="50" t="n">
        <x:v>0.1774190664291381</x:v>
      </x:c>
      <x:c r="I93" s="48" t="n">
        <x:v>0</x:v>
      </x:c>
    </x:row>
    <x:row r="94">
      <x:c r="A94" s="48" t="str">
        <x:v>CT0166_A6_001</x:v>
      </x:c>
      <x:c r="B94" s="48" t="str">
        <x:v>CT0166</x:v>
      </x:c>
      <x:c r="C94" s="48" t="str">
        <x:v>Isatuximab</x:v>
      </x:c>
      <x:c r="D94" s="73" t="n">
        <x:v>16.7</x:v>
      </x:c>
      <x:c r="E94" s="73" t="n">
        <x:v>5.152865409851074</x:v>
      </x:c>
      <x:c r="F94" s="73" t="n">
        <x:v>5.152865409851074</x:v>
      </x:c>
      <x:c r="G94" s="48" t="n">
        <x:v>1</x:v>
      </x:c>
      <x:c r="H94" s="50" t="n">
        <x:v>0.2180087268352508</x:v>
      </x:c>
      <x:c r="I94" s="48" t="n">
        <x:v>0</x:v>
      </x:c>
    </x:row>
    <x:row r="95">
      <x:c r="A95" s="48" t="str">
        <x:v>CT0166_A7_001</x:v>
      </x:c>
      <x:c r="B95" s="48" t="str">
        <x:v>CT0166</x:v>
      </x:c>
      <x:c r="C95" s="48" t="str">
        <x:v>Isatuximab</x:v>
      </x:c>
      <x:c r="D95" s="73" t="n">
        <x:v>16.7</x:v>
      </x:c>
      <x:c r="E95" s="73" t="n">
        <x:v>6.386765956878662</x:v>
      </x:c>
      <x:c r="F95" s="73" t="n">
        <x:v>6.386765956878662</x:v>
      </x:c>
      <x:c r="G95" s="48" t="n">
        <x:v>1</x:v>
      </x:c>
      <x:c r="H95" s="50" t="n">
        <x:v>0.2259221971035003</x:v>
      </x:c>
      <x:c r="I95" s="48" t="n">
        <x:v>0</x:v>
      </x:c>
    </x:row>
    <x:row r="96">
      <x:c r="A96" s="48" t="str">
        <x:v>CT0166_A8_001</x:v>
      </x:c>
      <x:c r="B96" s="48" t="str">
        <x:v>CT0166</x:v>
      </x:c>
      <x:c r="C96" s="48" t="str">
        <x:v>Isatuximab</x:v>
      </x:c>
      <x:c r="D96" s="73" t="n">
        <x:v>14.3</x:v>
      </x:c>
      <x:c r="E96" s="73" t="n">
        <x:v>5.680594444274902</x:v>
      </x:c>
      <x:c r="F96" s="73" t="n">
        <x:v>5.680594444274902</x:v>
      </x:c>
      <x:c r="G96" s="48" t="n">
        <x:v>1</x:v>
      </x:c>
      <x:c r="H96" s="50" t="n">
        <x:v>0.2228184044361114</x:v>
      </x:c>
      <x:c r="I96" s="48" t="n">
        <x:v>0</x:v>
      </x:c>
    </x:row>
    <x:row r="97">
      <x:c r="A97" s="48" t="str">
        <x:v>CT0166_A9_001</x:v>
      </x:c>
      <x:c r="B97" s="48" t="str">
        <x:v>CT0166</x:v>
      </x:c>
      <x:c r="C97" s="48" t="str">
        <x:v>Isatuximab</x:v>
      </x:c>
      <x:c r="D97" s="73" t="n">
        <x:v>0.9</x:v>
      </x:c>
      <x:c r="E97" s="73" t="n">
        <x:v>2.6972086429595947</x:v>
      </x:c>
      <x:c r="F97" s="73" t="n">
        <x:v>2.6972086429595947</x:v>
      </x:c>
      <x:c r="G97" s="48" t="n">
        <x:v>0</x:v>
      </x:c>
      <x:c r="H97" s="50" t="n">
        <x:v>0.1679450869560241</x:v>
      </x:c>
      <x:c r="I97" s="48" t="n">
        <x:v>0</x:v>
      </x:c>
    </x:row>
    <x:row r="98">
      <x:c r="A98" s="48" t="str">
        <x:v>CT0166_A10_001</x:v>
      </x:c>
      <x:c r="B98" s="48" t="str">
        <x:v>CT0166</x:v>
      </x:c>
      <x:c r="C98" s="48" t="str">
        <x:v>Isatuximab</x:v>
      </x:c>
      <x:c r="D98" s="73" t="n">
        <x:v>0</x:v>
      </x:c>
      <x:c r="E98" s="73" t="n">
        <x:v>1.7131597995758057</x:v>
      </x:c>
      <x:c r="F98" s="73" t="n">
        <x:v>1.7131597995758057</x:v>
      </x:c>
      <x:c r="G98" s="48" t="n">
        <x:v>0</x:v>
      </x:c>
      <x:c r="H98" s="50" t="n">
        <x:v>0.1031402647495269</x:v>
      </x:c>
      <x:c r="I98" s="48" t="n">
        <x:v>0</x:v>
      </x:c>
    </x:row>
    <x:row r="99">
      <x:c r="A99" s="48" t="str">
        <x:v>CT0167_A1_002</x:v>
      </x:c>
      <x:c r="B99" s="48" t="str">
        <x:v>CT0167</x:v>
      </x:c>
      <x:c r="C99" s="48" t="str">
        <x:v>Tanezumab</x:v>
      </x:c>
      <x:c r="D99" s="73" t="n">
        <x:v>0</x:v>
      </x:c>
      <x:c r="E99" s="73" t="n">
        <x:v>2.0122385025024414</x:v>
      </x:c>
      <x:c r="F99" s="73" t="n">
        <x:v>2.0122385025024414</x:v>
      </x:c>
      <x:c r="G99" s="48" t="n">
        <x:v>0</x:v>
      </x:c>
      <x:c r="H99" s="50" t="n">
        <x:v>0.0349754244089126</x:v>
      </x:c>
      <x:c r="I99" s="48" t="n">
        <x:v>0</x:v>
      </x:c>
    </x:row>
    <x:row r="100">
      <x:c r="A100" s="48" t="str">
        <x:v>CT0167_A1_003</x:v>
      </x:c>
      <x:c r="B100" s="48" t="str">
        <x:v>CT0167</x:v>
      </x:c>
      <x:c r="C100" s="48" t="str">
        <x:v>Tanezumab</x:v>
      </x:c>
      <x:c r="D100" s="73" t="n">
        <x:v>3.2</x:v>
      </x:c>
      <x:c r="E100" s="73" t="n">
        <x:v>1.7506117820739746</x:v>
      </x:c>
      <x:c r="F100" s="73" t="n">
        <x:v>1.7506117820739746</x:v>
      </x:c>
      <x:c r="G100" s="48" t="n">
        <x:v>0</x:v>
      </x:c>
      <x:c r="H100" s="50" t="n">
        <x:v>0.0339387282729148</x:v>
      </x:c>
      <x:c r="I100" s="48" t="n">
        <x:v>0</x:v>
      </x:c>
    </x:row>
    <x:row r="101">
      <x:c r="A101" s="48" t="str">
        <x:v>CT0167_A1_004</x:v>
      </x:c>
      <x:c r="B101" s="48" t="str">
        <x:v>CT0167</x:v>
      </x:c>
      <x:c r="C101" s="48" t="str">
        <x:v>Tanezumab</x:v>
      </x:c>
      <x:c r="D101" s="73" t="n">
        <x:v>0</x:v>
      </x:c>
      <x:c r="E101" s="73" t="n">
        <x:v>0.4728040993213653</x:v>
      </x:c>
      <x:c r="F101" s="73" t="n">
        <x:v>0.4728040993213653</x:v>
      </x:c>
      <x:c r="G101" s="48" t="n">
        <x:v>0</x:v>
      </x:c>
      <x:c r="H101" s="50" t="n">
        <x:v>0.0294117871671915</x:v>
      </x:c>
      <x:c r="I101" s="48" t="n">
        <x:v>0</x:v>
      </x:c>
    </x:row>
    <x:row r="102">
      <x:c r="A102" s="48" t="str">
        <x:v>CT0188_A1_001</x:v>
      </x:c>
      <x:c r="B102" s="48" t="str">
        <x:v>CT0188</x:v>
      </x:c>
      <x:c r="C102" s="48" t="str">
        <x:v>Elotuzumab</x:v>
      </x:c>
      <x:c r="D102" s="73" t="n">
        <x:v>100</x:v>
      </x:c>
      <x:c r="E102" s="73" t="n">
        <x:v>10.206500053405762</x:v>
      </x:c>
      <x:c r="F102" s="73" t="n">
        <x:v>10.206500053405762</x:v>
      </x:c>
      <x:c r="G102" s="48" t="n">
        <x:v>1</x:v>
      </x:c>
      <x:c r="H102" s="50" t="n">
        <x:v>0.3644223511219024</x:v>
      </x:c>
      <x:c r="I102" s="48" t="n">
        <x:v>0</x:v>
      </x:c>
    </x:row>
    <x:row r="103">
      <x:c r="A103" s="48" t="str">
        <x:v>CT0188_A2_001</x:v>
      </x:c>
      <x:c r="B103" s="48" t="str">
        <x:v>CT0188</x:v>
      </x:c>
      <x:c r="C103" s="48" t="str">
        <x:v>Elotuzumab</x:v>
      </x:c>
      <x:c r="D103" s="73" t="n">
        <x:v>0</x:v>
      </x:c>
      <x:c r="E103" s="73" t="n">
        <x:v>11.140010833740234</x:v>
      </x:c>
      <x:c r="F103" s="73" t="n">
        <x:v>11.140010833740234</x:v>
      </x:c>
      <x:c r="G103" s="48" t="n">
        <x:v>0</x:v>
      </x:c>
      <x:c r="H103" s="50" t="n">
        <x:v>0.3710919320583343</x:v>
      </x:c>
      <x:c r="I103" s="48" t="n">
        <x:v>0</x:v>
      </x:c>
    </x:row>
    <x:row r="104">
      <x:c r="A104" s="48" t="str">
        <x:v>CT0190_A1_001</x:v>
      </x:c>
      <x:c r="B104" s="48" t="str">
        <x:v>CT0190</x:v>
      </x:c>
      <x:c r="C104" s="48" t="str">
        <x:v>Bococizumab</x:v>
      </x:c>
      <x:c r="D104" s="73" t="n">
        <x:v>0</x:v>
      </x:c>
      <x:c r="E104" s="73" t="n">
        <x:v>18.734981536865234</x:v>
      </x:c>
      <x:c r="F104" s="73" t="n">
        <x:v>18.734981536865234</x:v>
      </x:c>
      <x:c r="G104" s="48" t="n">
        <x:v>0</x:v>
      </x:c>
      <x:c r="H104" s="50" t="n">
        <x:v>0.4371666312217712</x:v>
      </x:c>
      <x:c r="I104" s="48" t="n">
        <x:v>0</x:v>
      </x:c>
    </x:row>
    <x:row r="105">
      <x:c r="A105" s="48" t="str">
        <x:v>CT0190_A2_001</x:v>
      </x:c>
      <x:c r="B105" s="48" t="str">
        <x:v>CT0190</x:v>
      </x:c>
      <x:c r="C105" s="48" t="str">
        <x:v>Bococizumab</x:v>
      </x:c>
      <x:c r="D105" s="73" t="n">
        <x:v>7.142857143</x:v>
      </x:c>
      <x:c r="E105" s="73" t="n">
        <x:v>11.129923820495604</x:v>
      </x:c>
      <x:c r="F105" s="73" t="n">
        <x:v>11.129923820495604</x:v>
      </x:c>
      <x:c r="G105" s="48" t="n">
        <x:v>0</x:v>
      </x:c>
      <x:c r="H105" s="50" t="n">
        <x:v>0.3951220214366913</x:v>
      </x:c>
      <x:c r="I105" s="48" t="n">
        <x:v>0</x:v>
      </x:c>
    </x:row>
    <x:row r="106">
      <x:c r="A106" s="48" t="str">
        <x:v>CT0190_A2_002</x:v>
      </x:c>
      <x:c r="B106" s="48" t="str">
        <x:v>CT0190</x:v>
      </x:c>
      <x:c r="C106" s="48" t="str">
        <x:v>Bococizumab</x:v>
      </x:c>
      <x:c r="D106" s="73" t="n">
        <x:v>7.692307692</x:v>
      </x:c>
      <x:c r="E106" s="73" t="n">
        <x:v>10.68854808807373</x:v>
      </x:c>
      <x:c r="F106" s="73" t="n">
        <x:v>10.68854808807373</x:v>
      </x:c>
      <x:c r="G106" s="48" t="n">
        <x:v>0</x:v>
      </x:c>
      <x:c r="H106" s="50" t="n">
        <x:v>0.3963398039340973</x:v>
      </x:c>
      <x:c r="I106" s="48" t="n">
        <x:v>0</x:v>
      </x:c>
    </x:row>
    <x:row r="107">
      <x:c r="A107" s="48" t="str">
        <x:v>CT0190_A2_003</x:v>
      </x:c>
      <x:c r="B107" s="48" t="str">
        <x:v>CT0190</x:v>
      </x:c>
      <x:c r="C107" s="48" t="str">
        <x:v>Bococizumab</x:v>
      </x:c>
      <x:c r="D107" s="73" t="n">
        <x:v>14.28571429</x:v>
      </x:c>
      <x:c r="E107" s="73" t="n">
        <x:v>11.13575267791748</x:v>
      </x:c>
      <x:c r="F107" s="73" t="n">
        <x:v>11.13575267791748</x:v>
      </x:c>
      <x:c r="G107" s="48" t="n">
        <x:v>1</x:v>
      </x:c>
      <x:c r="H107" s="50" t="n">
        <x:v>0.3958344161510467</x:v>
      </x:c>
      <x:c r="I107" s="48" t="n">
        <x:v>0</x:v>
      </x:c>
    </x:row>
    <x:row r="108">
      <x:c r="A108" s="48" t="str">
        <x:v>CT0191_A2_002</x:v>
      </x:c>
      <x:c r="B108" s="48" t="str">
        <x:v>CT0191</x:v>
      </x:c>
      <x:c r="C108" s="48" t="str">
        <x:v>Ocrelizumab</x:v>
      </x:c>
      <x:c r="D108" s="73" t="n">
        <x:v>0.248756219</x:v>
      </x:c>
      <x:c r="E108" s="73" t="n">
        <x:v>15.709505081176758</x:v>
      </x:c>
      <x:c r="F108" s="73" t="n">
        <x:v>15.709505081176758</x:v>
      </x:c>
      <x:c r="G108" s="48" t="n">
        <x:v>0</x:v>
      </x:c>
      <x:c r="H108" s="50" t="n">
        <x:v>0.252728134393692</x:v>
      </x:c>
      <x:c r="I108" s="48" t="n">
        <x:v>0</x:v>
      </x:c>
    </x:row>
    <x:row r="109">
      <x:c r="A109" s="48" t="str">
        <x:v>CT0201_A1_001</x:v>
      </x:c>
      <x:c r="B109" s="48" t="str">
        <x:v>CT0201</x:v>
      </x:c>
      <x:c r="C109" s="48" t="str">
        <x:v>Reslizumab</x:v>
      </x:c>
      <x:c r="D109" s="73" t="n">
        <x:v>5.150214592</x:v>
      </x:c>
      <x:c r="E109" s="73" t="n">
        <x:v>3.5947999954223637</x:v>
      </x:c>
      <x:c r="F109" s="73" t="n">
        <x:v>3.5947999954223637</x:v>
      </x:c>
      <x:c r="G109" s="48" t="n">
        <x:v>0</x:v>
      </x:c>
      <x:c r="H109" s="50" t="n">
        <x:v>0.0564132332801818</x:v>
      </x:c>
      <x:c r="I109" s="48" t="n">
        <x:v>0</x:v>
      </x:c>
    </x:row>
    <x:row r="110">
      <x:c r="A110" s="48" t="str">
        <x:v>CT0201_A2_001</x:v>
      </x:c>
      <x:c r="B110" s="48" t="str">
        <x:v>CT0201</x:v>
      </x:c>
      <x:c r="C110" s="48" t="str">
        <x:v>Reslizumab</x:v>
      </x:c>
      <x:c r="D110" s="73" t="n">
        <x:v>4.562043796</x:v>
      </x:c>
      <x:c r="E110" s="73" t="n">
        <x:v>3.603559017181397</x:v>
      </x:c>
      <x:c r="F110" s="73" t="n">
        <x:v>3.603559017181397</x:v>
      </x:c>
      <x:c r="G110" s="48" t="n">
        <x:v>0</x:v>
      </x:c>
      <x:c r="H110" s="50" t="n">
        <x:v>0.0630412399768829</x:v>
      </x:c>
      <x:c r="I110" s="48" t="n">
        <x:v>0</x:v>
      </x:c>
    </x:row>
    <x:row r="111">
      <x:c r="A111" s="48" t="str">
        <x:v>CT0201_A1_003</x:v>
      </x:c>
      <x:c r="B111" s="48" t="str">
        <x:v>CT0201</x:v>
      </x:c>
      <x:c r="C111" s="48" t="str">
        <x:v>Reslizumab</x:v>
      </x:c>
      <x:c r="D111" s="73" t="n">
        <x:v>3.141361257</x:v>
      </x:c>
      <x:c r="E111" s="73" t="n">
        <x:v>3.6920957565307617</x:v>
      </x:c>
      <x:c r="F111" s="73" t="n">
        <x:v>3.6920957565307617</x:v>
      </x:c>
      <x:c r="G111" s="48" t="n">
        <x:v>0</x:v>
      </x:c>
      <x:c r="H111" s="50" t="n">
        <x:v>0.0555928461253643</x:v>
      </x:c>
      <x:c r="I111" s="48" t="n">
        <x:v>0</x:v>
      </x:c>
    </x:row>
    <x:row r="112">
      <x:c r="A112" s="48" t="str">
        <x:v>CT0201_A2_003</x:v>
      </x:c>
      <x:c r="B112" s="48" t="str">
        <x:v>CT0201</x:v>
      </x:c>
      <x:c r="C112" s="48" t="str">
        <x:v>Reslizumab</x:v>
      </x:c>
      <x:c r="D112" s="73" t="n">
        <x:v>2.921348315</x:v>
      </x:c>
      <x:c r="E112" s="73" t="n">
        <x:v>3.603126049041748</x:v>
      </x:c>
      <x:c r="F112" s="73" t="n">
        <x:v>3.603126049041748</x:v>
      </x:c>
      <x:c r="G112" s="48" t="n">
        <x:v>0</x:v>
      </x:c>
      <x:c r="H112" s="50" t="n">
        <x:v>0.0560189448297023</x:v>
      </x:c>
      <x:c r="I112" s="48" t="n">
        <x:v>0</x:v>
      </x:c>
    </x:row>
    <x:row r="113">
      <x:c r="A113" s="48" t="str">
        <x:v>CT0201_A1_004</x:v>
      </x:c>
      <x:c r="B113" s="48" t="str">
        <x:v>CT0201</x:v>
      </x:c>
      <x:c r="C113" s="48" t="str">
        <x:v>Reslizumab</x:v>
      </x:c>
      <x:c r="D113" s="73" t="n">
        <x:v>4.812834225</x:v>
      </x:c>
      <x:c r="E113" s="73" t="n">
        <x:v>3.857682228088379</x:v>
      </x:c>
      <x:c r="F113" s="73" t="n">
        <x:v>3.857682228088379</x:v>
      </x:c>
      <x:c r="G113" s="48" t="n">
        <x:v>0</x:v>
      </x:c>
      <x:c r="H113" s="50" t="n">
        <x:v>0.0649185478687286</x:v>
      </x:c>
      <x:c r="I113" s="48" t="n">
        <x:v>0</x:v>
      </x:c>
    </x:row>
    <x:row r="114">
      <x:c r="A114" s="48" t="str">
        <x:v>CT0201_A2_004</x:v>
      </x:c>
      <x:c r="B114" s="48" t="str">
        <x:v>CT0201</x:v>
      </x:c>
      <x:c r="C114" s="48" t="str">
        <x:v>Reslizumab</x:v>
      </x:c>
      <x:c r="D114" s="73" t="n">
        <x:v>2.834008097</x:v>
      </x:c>
      <x:c r="E114" s="73" t="n">
        <x:v>3.670304775238037</x:v>
      </x:c>
      <x:c r="F114" s="73" t="n">
        <x:v>3.670304775238037</x:v>
      </x:c>
      <x:c r="G114" s="48" t="n">
        <x:v>0</x:v>
      </x:c>
      <x:c r="H114" s="50" t="n">
        <x:v>0.0556077845394611</x:v>
      </x:c>
      <x:c r="I114" s="48" t="n">
        <x:v>0</x:v>
      </x:c>
    </x:row>
    <x:row r="115">
      <x:c r="A115" s="48" t="str">
        <x:v>CT0201_A1_005</x:v>
      </x:c>
      <x:c r="B115" s="48" t="str">
        <x:v>CT0201</x:v>
      </x:c>
      <x:c r="C115" s="48" t="str">
        <x:v>Reslizumab</x:v>
      </x:c>
      <x:c r="D115" s="73" t="n">
        <x:v>7.142857143</x:v>
      </x:c>
      <x:c r="E115" s="73" t="n">
        <x:v>5.225777626037598</x:v>
      </x:c>
      <x:c r="F115" s="73" t="n">
        <x:v>5.225777626037598</x:v>
      </x:c>
      <x:c r="G115" s="48" t="n">
        <x:v>0</x:v>
      </x:c>
      <x:c r="H115" s="50" t="n">
        <x:v>0.2252892851829528</x:v>
      </x:c>
      <x:c r="I115" s="48" t="n">
        <x:v>0</x:v>
      </x:c>
    </x:row>
    <x:row r="116">
      <x:c r="A116" s="48" t="str">
        <x:v>CT0201_A2_005</x:v>
      </x:c>
      <x:c r="B116" s="48" t="str">
        <x:v>CT0201</x:v>
      </x:c>
      <x:c r="C116" s="48" t="str">
        <x:v>Reslizumab</x:v>
      </x:c>
      <x:c r="D116" s="73" t="n">
        <x:v>3.846153846</x:v>
      </x:c>
      <x:c r="E116" s="73" t="n">
        <x:v>4.577192306518555</x:v>
      </x:c>
      <x:c r="F116" s="73" t="n">
        <x:v>4.577192306518555</x:v>
      </x:c>
      <x:c r="G116" s="48" t="n">
        <x:v>0</x:v>
      </x:c>
      <x:c r="H116" s="50" t="n">
        <x:v>0.132921889424324</x:v>
      </x:c>
      <x:c r="I116" s="48" t="n">
        <x:v>0</x:v>
      </x:c>
    </x:row>
    <x:row r="117">
      <x:c r="A117" s="48" t="str">
        <x:v>CT0201_A1_006</x:v>
      </x:c>
      <x:c r="B117" s="48" t="str">
        <x:v>CT0201</x:v>
      </x:c>
      <x:c r="C117" s="48" t="str">
        <x:v>Reslizumab</x:v>
      </x:c>
      <x:c r="D117" s="73" t="n">
        <x:v>12.5</x:v>
      </x:c>
      <x:c r="E117" s="73" t="n">
        <x:v>6.463417530059815</x:v>
      </x:c>
      <x:c r="F117" s="73" t="n">
        <x:v>6.463417530059815</x:v>
      </x:c>
      <x:c r="G117" s="48" t="n">
        <x:v>1</x:v>
      </x:c>
      <x:c r="H117" s="50" t="n">
        <x:v>0.2876430451869964</x:v>
      </x:c>
      <x:c r="I117" s="48" t="n">
        <x:v>0</x:v>
      </x:c>
    </x:row>
    <x:row r="118">
      <x:c r="A118" s="48" t="str">
        <x:v>CT0201_A2_006</x:v>
      </x:c>
      <x:c r="B118" s="48" t="str">
        <x:v>CT0201</x:v>
      </x:c>
      <x:c r="C118" s="48" t="str">
        <x:v>Reslizumab</x:v>
      </x:c>
      <x:c r="D118" s="73" t="n">
        <x:v>2.083333333</x:v>
      </x:c>
      <x:c r="E118" s="73" t="n">
        <x:v>5.326201438903809</x:v>
      </x:c>
      <x:c r="F118" s="73" t="n">
        <x:v>5.326201438903809</x:v>
      </x:c>
      <x:c r="G118" s="48" t="n">
        <x:v>0</x:v>
      </x:c>
      <x:c r="H118" s="50" t="n">
        <x:v>0.2374695688486099</x:v>
      </x:c>
      <x:c r="I118" s="48" t="n">
        <x:v>0</x:v>
      </x:c>
    </x:row>
    <x:row r="119">
      <x:c r="A119" s="48" t="str">
        <x:v>CT0201_A1_007</x:v>
      </x:c>
      <x:c r="B119" s="48" t="str">
        <x:v>CT0201</x:v>
      </x:c>
      <x:c r="C119" s="48" t="str">
        <x:v>Reslizumab</x:v>
      </x:c>
      <x:c r="D119" s="73" t="n">
        <x:v>2.816901408</x:v>
      </x:c>
      <x:c r="E119" s="73" t="n">
        <x:v>4.141507625579834</x:v>
      </x:c>
      <x:c r="F119" s="73" t="n">
        <x:v>4.141507625579834</x:v>
      </x:c>
      <x:c r="G119" s="48" t="n">
        <x:v>0</x:v>
      </x:c>
      <x:c r="H119" s="50" t="n">
        <x:v>0.0824151709675788</x:v>
      </x:c>
      <x:c r="I119" s="48" t="n">
        <x:v>0</x:v>
      </x:c>
    </x:row>
    <x:row r="120">
      <x:c r="A120" s="48" t="str">
        <x:v>CT0201_A2_007</x:v>
      </x:c>
      <x:c r="B120" s="48" t="str">
        <x:v>CT0201</x:v>
      </x:c>
      <x:c r="C120" s="48" t="str">
        <x:v>Reslizumab</x:v>
      </x:c>
      <x:c r="D120" s="73" t="n">
        <x:v>1.923076923</x:v>
      </x:c>
      <x:c r="E120" s="73" t="n">
        <x:v>5.292513847351074</x:v>
      </x:c>
      <x:c r="F120" s="73" t="n">
        <x:v>5.292513847351074</x:v>
      </x:c>
      <x:c r="G120" s="48" t="n">
        <x:v>0</x:v>
      </x:c>
      <x:c r="H120" s="50" t="n">
        <x:v>0.2286757528781891</x:v>
      </x:c>
      <x:c r="I120" s="48" t="n">
        <x:v>0</x:v>
      </x:c>
    </x:row>
    <x:row r="121">
      <x:c r="A121" s="48" t="str">
        <x:v>CT0201_A1_008</x:v>
      </x:c>
      <x:c r="B121" s="48" t="str">
        <x:v>CT0201</x:v>
      </x:c>
      <x:c r="C121" s="48" t="str">
        <x:v>Reslizumab</x:v>
      </x:c>
      <x:c r="D121" s="73" t="n">
        <x:v>2.575107296</x:v>
      </x:c>
      <x:c r="E121" s="73" t="n">
        <x:v>3.5947999954223637</x:v>
      </x:c>
      <x:c r="F121" s="73" t="n">
        <x:v>3.5947999954223637</x:v>
      </x:c>
      <x:c r="G121" s="48" t="n">
        <x:v>0</x:v>
      </x:c>
      <x:c r="H121" s="50" t="n">
        <x:v>0.0564132332801818</x:v>
      </x:c>
      <x:c r="I121" s="48" t="n">
        <x:v>0</x:v>
      </x:c>
    </x:row>
    <x:row r="122">
      <x:c r="A122" s="48" t="str">
        <x:v>CT0201_A2_008</x:v>
      </x:c>
      <x:c r="B122" s="48" t="str">
        <x:v>CT0201</x:v>
      </x:c>
      <x:c r="C122" s="48" t="str">
        <x:v>Reslizumab</x:v>
      </x:c>
      <x:c r="D122" s="73" t="n">
        <x:v>3.119266055</x:v>
      </x:c>
      <x:c r="E122" s="73" t="n">
        <x:v>3.6505439281463614</x:v>
      </x:c>
      <x:c r="F122" s="73" t="n">
        <x:v>3.6505439281463614</x:v>
      </x:c>
      <x:c r="G122" s="48" t="n">
        <x:v>0</x:v>
      </x:c>
      <x:c r="H122" s="50" t="n">
        <x:v>0.0621810108423233</x:v>
      </x:c>
      <x:c r="I122" s="48" t="n">
        <x:v>0</x:v>
      </x:c>
    </x:row>
    <x:row r="123">
      <x:c r="A123" s="48" t="str">
        <x:v>CT0205_A1_001</x:v>
      </x:c>
      <x:c r="B123" s="48" t="str">
        <x:v>CT0205</x:v>
      </x:c>
      <x:c r="C123" s="48" t="str">
        <x:v>Canakinumab</x:v>
      </x:c>
      <x:c r="D123" s="73" t="n">
        <x:v>0</x:v>
      </x:c>
      <x:c r="E123" s="73" t="n">
        <x:v>4.029887199401856</x:v>
      </x:c>
      <x:c r="F123" s="73" t="n">
        <x:v>4.029887199401856</x:v>
      </x:c>
      <x:c r="G123" s="48" t="n">
        <x:v>0</x:v>
      </x:c>
      <x:c r="H123" s="50" t="n">
        <x:v>0.2403453588485717</x:v>
      </x:c>
      <x:c r="I123" s="48" t="n">
        <x:v>0</x:v>
      </x:c>
    </x:row>
    <x:row r="124">
      <x:c r="A124" s="48" t="str">
        <x:v>CT0220_A2_002</x:v>
      </x:c>
      <x:c r="B124" s="48" t="str">
        <x:v>CT0220</x:v>
      </x:c>
      <x:c r="C124" s="48" t="str">
        <x:v>Ocrelizumab</x:v>
      </x:c>
      <x:c r="D124" s="73" t="n">
        <x:v>0.49382716</x:v>
      </x:c>
      <x:c r="E124" s="73" t="n">
        <x:v>15.835346221923828</x:v>
      </x:c>
      <x:c r="F124" s="73" t="n">
        <x:v>15.835346221923828</x:v>
      </x:c>
      <x:c r="G124" s="48" t="n">
        <x:v>0</x:v>
      </x:c>
      <x:c r="H124" s="50" t="n">
        <x:v>0.2534178793430328</x:v>
      </x:c>
      <x:c r="I124" s="48" t="n">
        <x:v>0</x:v>
      </x:c>
    </x:row>
    <x:row r="125">
      <x:c r="A125" s="48" t="str">
        <x:v>CT0229_A1_001</x:v>
      </x:c>
      <x:c r="B125" s="48" t="str">
        <x:v>CT0229</x:v>
      </x:c>
      <x:c r="C125" s="48" t="str">
        <x:v>Ixekizumab</x:v>
      </x:c>
      <x:c r="D125" s="73" t="n">
        <x:v>12.5</x:v>
      </x:c>
      <x:c r="E125" s="73" t="n">
        <x:v>14.003968238830566</x:v>
      </x:c>
      <x:c r="F125" s="73" t="n">
        <x:v>14.003968238830566</x:v>
      </x:c>
      <x:c r="G125" s="48" t="n">
        <x:v>1</x:v>
      </x:c>
      <x:c r="H125" s="50" t="n">
        <x:v>0.5297234654426575</x:v>
      </x:c>
      <x:c r="I125" s="48" t="n">
        <x:v>1</x:v>
      </x:c>
    </x:row>
    <x:row r="126">
      <x:c r="A126" s="48" t="str">
        <x:v>CT0229_A2_001</x:v>
      </x:c>
      <x:c r="B126" s="48" t="str">
        <x:v>CT0229</x:v>
      </x:c>
      <x:c r="C126" s="48" t="str">
        <x:v>Ixekizumab</x:v>
      </x:c>
      <x:c r="D126" s="73" t="n">
        <x:v>10.3</x:v>
      </x:c>
      <x:c r="E126" s="73" t="n">
        <x:v>14.164081573486328</x:v>
      </x:c>
      <x:c r="F126" s="73" t="n">
        <x:v>14.164081573486328</x:v>
      </x:c>
      <x:c r="G126" s="48" t="n">
        <x:v>1</x:v>
      </x:c>
      <x:c r="H126" s="50" t="n">
        <x:v>0.5291978120803833</x:v>
      </x:c>
      <x:c r="I126" s="48" t="n">
        <x:v>1</x:v>
      </x:c>
    </x:row>
    <x:row r="127">
      <x:c r="A127" s="48" t="str">
        <x:v>CT0232_A1_001</x:v>
      </x:c>
      <x:c r="B127" s="48" t="str">
        <x:v>CT0232</x:v>
      </x:c>
      <x:c r="C127" s="48" t="str">
        <x:v>Nonacog alfa</x:v>
      </x:c>
      <x:c r="D127" s="73" t="n">
        <x:v>0</x:v>
      </x:c>
      <x:c r="E127" s="73" t="n">
        <x:v>3.50179386138916</x:v>
      </x:c>
      <x:c r="F127" s="73" t="n">
        <x:v>3.50179386138916</x:v>
      </x:c>
      <x:c r="G127" s="48" t="n">
        <x:v>0</x:v>
      </x:c>
      <x:c r="H127" s="50" t="n">
        <x:v>0.123117059469223</x:v>
      </x:c>
      <x:c r="I127" s="48" t="n">
        <x:v>0</x:v>
      </x:c>
    </x:row>
    <x:row r="128">
      <x:c r="A128" s="48" t="str">
        <x:v>CT0245_A1_001</x:v>
      </x:c>
      <x:c r="B128" s="48" t="str">
        <x:v>CT0245</x:v>
      </x:c>
      <x:c r="C128" s="48" t="str">
        <x:v>Ixekizumab</x:v>
      </x:c>
      <x:c r="D128" s="73" t="n">
        <x:v>14.1</x:v>
      </x:c>
      <x:c r="E128" s="73" t="n">
        <x:v>14.579432487487791</x:v>
      </x:c>
      <x:c r="F128" s="73" t="n">
        <x:v>14.579432487487791</x:v>
      </x:c>
      <x:c r="G128" s="48" t="n">
        <x:v>1</x:v>
      </x:c>
      <x:c r="H128" s="50" t="n">
        <x:v>0.5488582849502563</x:v>
      </x:c>
      <x:c r="I128" s="48" t="n">
        <x:v>1</x:v>
      </x:c>
    </x:row>
    <x:row r="129">
      <x:c r="A129" s="48" t="str">
        <x:v>CT0245_A2_001</x:v>
      </x:c>
      <x:c r="B129" s="48" t="str">
        <x:v>CT0245</x:v>
      </x:c>
      <x:c r="C129" s="48" t="str">
        <x:v>Ixekizumab</x:v>
      </x:c>
      <x:c r="D129" s="73" t="n">
        <x:v>10.4</x:v>
      </x:c>
      <x:c r="E129" s="73" t="n">
        <x:v>14.630488395690918</x:v>
      </x:c>
      <x:c r="F129" s="73" t="n">
        <x:v>14.630488395690918</x:v>
      </x:c>
      <x:c r="G129" s="48" t="n">
        <x:v>1</x:v>
      </x:c>
      <x:c r="H129" s="50" t="n">
        <x:v>0.544628381729126</x:v>
      </x:c>
      <x:c r="I129" s="48" t="n">
        <x:v>1</x:v>
      </x:c>
    </x:row>
    <x:row r="130">
      <x:c r="A130" s="48" t="str">
        <x:v>CT0410_A2_001</x:v>
      </x:c>
      <x:c r="B130" s="48" t="str">
        <x:v>CT0410</x:v>
      </x:c>
      <x:c r="C130" s="48" t="str">
        <x:v>Tocilizumab</x:v>
      </x:c>
      <x:c r="D130" s="73" t="n">
        <x:v>2.9</x:v>
      </x:c>
      <x:c r="E130" s="73" t="n">
        <x:v>6.316582679748535</x:v>
      </x:c>
      <x:c r="F130" s="73" t="n">
        <x:v>6.316582679748535</x:v>
      </x:c>
      <x:c r="G130" s="48" t="n">
        <x:v>0</x:v>
      </x:c>
      <x:c r="H130" s="50" t="n">
        <x:v>0.1088778525590896</x:v>
      </x:c>
      <x:c r="I130" s="48" t="n">
        <x:v>0</x:v>
      </x:c>
    </x:row>
    <x:row r="131">
      <x:c r="A131" s="48" t="str">
        <x:v>CT0267_A1_001</x:v>
      </x:c>
      <x:c r="B131" s="48" t="str">
        <x:v>CT0267</x:v>
      </x:c>
      <x:c r="C131" s="48" t="str">
        <x:v>Tocilizumab</x:v>
      </x:c>
      <x:c r="D131" s="73" t="n">
        <x:v>0</x:v>
      </x:c>
      <x:c r="E131" s="73" t="n">
        <x:v>19.536460876464844</x:v>
      </x:c>
      <x:c r="F131" s="73" t="n">
        <x:v>19.536460876464844</x:v>
      </x:c>
      <x:c r="G131" s="48" t="n">
        <x:v>0</x:v>
      </x:c>
      <x:c r="H131" s="50" t="n">
        <x:v>0.2062043845653534</x:v>
      </x:c>
      <x:c r="I131" s="48" t="n">
        <x:v>0</x:v>
      </x:c>
    </x:row>
    <x:row r="132">
      <x:c r="A132" s="48" t="str">
        <x:v>CT0293_A1_001</x:v>
      </x:c>
      <x:c r="B132" s="48" t="str">
        <x:v>CT0293</x:v>
      </x:c>
      <x:c r="C132" s="48" t="str">
        <x:v>Obiltoxaximab</x:v>
      </x:c>
      <x:c r="D132" s="73" t="n">
        <x:v>8.6</x:v>
      </x:c>
      <x:c r="E132" s="73" t="n">
        <x:v>1.758792757987976</x:v>
      </x:c>
      <x:c r="F132" s="73" t="n">
        <x:v>1.758792757987976</x:v>
      </x:c>
      <x:c r="G132" s="48" t="n">
        <x:v>0</x:v>
      </x:c>
      <x:c r="H132" s="50" t="n">
        <x:v>0.0131183108314871</x:v>
      </x:c>
      <x:c r="I132" s="48" t="n">
        <x:v>0</x:v>
      </x:c>
    </x:row>
    <x:row r="133">
      <x:c r="A133" s="48" t="str">
        <x:v>CT0293_A2_001</x:v>
      </x:c>
      <x:c r="B133" s="48" t="str">
        <x:v>CT0293</x:v>
      </x:c>
      <x:c r="C133" s="48" t="str">
        <x:v>Obiltoxaximab</x:v>
      </x:c>
      <x:c r="D133" s="73" t="n">
        <x:v>2.9</x:v>
      </x:c>
      <x:c r="E133" s="73" t="n">
        <x:v>1.758792757987976</x:v>
      </x:c>
      <x:c r="F133" s="73" t="n">
        <x:v>1.758792757987976</x:v>
      </x:c>
      <x:c r="G133" s="48" t="n">
        <x:v>0</x:v>
      </x:c>
      <x:c r="H133" s="50" t="n">
        <x:v>0.0131183108314871</x:v>
      </x:c>
      <x:c r="I133" s="48" t="n">
        <x:v>0</x:v>
      </x:c>
    </x:row>
    <x:row r="134">
      <x:c r="A134" s="48" t="str">
        <x:v>CT0294_A2_001</x:v>
      </x:c>
      <x:c r="B134" s="48" t="str">
        <x:v>CT0294</x:v>
      </x:c>
      <x:c r="C134" s="48" t="str">
        <x:v>Obiltoxaximab</x:v>
      </x:c>
      <x:c r="D134" s="73" t="n">
        <x:v>0</x:v>
      </x:c>
      <x:c r="E134" s="73" t="n">
        <x:v>0.9289262294769288</x:v>
      </x:c>
      <x:c r="F134" s="73" t="n">
        <x:v>0.9289262294769288</x:v>
      </x:c>
      <x:c r="G134" s="48" t="n">
        <x:v>0</x:v>
      </x:c>
      <x:c r="H134" s="50" t="n">
        <x:v>0.043245755136013</x:v>
      </x:c>
      <x:c r="I134" s="48" t="n">
        <x:v>0</x:v>
      </x:c>
    </x:row>
    <x:row r="135">
      <x:c r="A135" s="48" t="str">
        <x:v>CT0294_A3_001</x:v>
      </x:c>
      <x:c r="B135" s="48" t="str">
        <x:v>CT0294</x:v>
      </x:c>
      <x:c r="C135" s="48" t="str">
        <x:v>Obiltoxaximab</x:v>
      </x:c>
      <x:c r="D135" s="73" t="n">
        <x:v>0</x:v>
      </x:c>
      <x:c r="E135" s="73" t="n">
        <x:v>1.569560170173645</x:v>
      </x:c>
      <x:c r="F135" s="73" t="n">
        <x:v>1.569560170173645</x:v>
      </x:c>
      <x:c r="G135" s="48" t="n">
        <x:v>0</x:v>
      </x:c>
      <x:c r="H135" s="50" t="n">
        <x:v>0.0401508174836635</x:v>
      </x:c>
      <x:c r="I135" s="48" t="n">
        <x:v>0</x:v>
      </x:c>
    </x:row>
    <x:row r="136">
      <x:c r="A136" s="48" t="str">
        <x:v>CT0294_A4_001</x:v>
      </x:c>
      <x:c r="B136" s="48" t="str">
        <x:v>CT0294</x:v>
      </x:c>
      <x:c r="C136" s="48" t="str">
        <x:v>Obiltoxaximab</x:v>
      </x:c>
      <x:c r="D136" s="73" t="n">
        <x:v>0</x:v>
      </x:c>
      <x:c r="E136" s="73" t="n">
        <x:v>1.754602313041687</x:v>
      </x:c>
      <x:c r="F136" s="73" t="n">
        <x:v>1.754602313041687</x:v>
      </x:c>
      <x:c r="G136" s="48" t="n">
        <x:v>0</x:v>
      </x:c>
      <x:c r="H136" s="50" t="n">
        <x:v>0.0391969420015811</x:v>
      </x:c>
      <x:c r="I136" s="48" t="n">
        <x:v>0</x:v>
      </x:c>
    </x:row>
    <x:row r="137">
      <x:c r="A137" s="48" t="str">
        <x:v>CT0294_A5_001</x:v>
      </x:c>
      <x:c r="B137" s="48" t="str">
        <x:v>CT0294</x:v>
      </x:c>
      <x:c r="C137" s="48" t="str">
        <x:v>Obiltoxaximab</x:v>
      </x:c>
      <x:c r="D137" s="73" t="n">
        <x:v>0</x:v>
      </x:c>
      <x:c r="E137" s="73" t="n">
        <x:v>1.8539149761199951</x:v>
      </x:c>
      <x:c r="F137" s="73" t="n">
        <x:v>1.8539149761199951</x:v>
      </x:c>
      <x:c r="G137" s="48" t="n">
        <x:v>0</x:v>
      </x:c>
      <x:c r="H137" s="50" t="n">
        <x:v>0.0397519245743751</x:v>
      </x:c>
      <x:c r="I137" s="48" t="n">
        <x:v>0</x:v>
      </x:c>
    </x:row>
    <x:row r="138">
      <x:c r="A138" s="48" t="str">
        <x:v>CT0294_A6_001</x:v>
      </x:c>
      <x:c r="B138" s="48" t="str">
        <x:v>CT0294</x:v>
      </x:c>
      <x:c r="C138" s="48" t="str">
        <x:v>Obiltoxaximab</x:v>
      </x:c>
      <x:c r="D138" s="73" t="n">
        <x:v>0</x:v>
      </x:c>
      <x:c r="E138" s="73" t="n">
        <x:v>1.88638436794281</x:v>
      </x:c>
      <x:c r="F138" s="73" t="n">
        <x:v>1.88638436794281</x:v>
      </x:c>
      <x:c r="G138" s="48" t="n">
        <x:v>0</x:v>
      </x:c>
      <x:c r="H138" s="50" t="n">
        <x:v>0.0403368920087814</x:v>
      </x:c>
      <x:c r="I138" s="48" t="n">
        <x:v>0</x:v>
      </x:c>
    </x:row>
    <x:row r="139">
      <x:c r="A139" s="48" t="str">
        <x:v>CT0305_A1_001</x:v>
      </x:c>
      <x:c r="B139" s="48" t="str">
        <x:v>CT0305</x:v>
      </x:c>
      <x:c r="C139" s="48" t="str">
        <x:v>Bococizumab</x:v>
      </x:c>
      <x:c r="D139" s="73" t="n">
        <x:v>49.7</x:v>
      </x:c>
      <x:c r="E139" s="73" t="n">
        <x:v>45.67457580566406</x:v>
      </x:c>
      <x:c r="F139" s="73" t="n">
        <x:v>45.67457580566406</x:v>
      </x:c>
      <x:c r="G139" s="48" t="n">
        <x:v>1</x:v>
      </x:c>
      <x:c r="H139" s="50" t="n">
        <x:v>0.9549943804740906</x:v>
      </x:c>
      <x:c r="I139" s="48" t="n">
        <x:v>1</x:v>
      </x:c>
    </x:row>
    <x:row r="140">
      <x:c r="A140" s="48" t="str">
        <x:v>CT0319_A1_001</x:v>
      </x:c>
      <x:c r="B140" s="48" t="str">
        <x:v>CT0319</x:v>
      </x:c>
      <x:c r="C140" s="48" t="str">
        <x:v>Tocilizumab</x:v>
      </x:c>
      <x:c r="D140" s="73" t="n">
        <x:v>3.6</x:v>
      </x:c>
      <x:c r="E140" s="73" t="n">
        <x:v>1.7770323753356934</x:v>
      </x:c>
      <x:c r="F140" s="73" t="n">
        <x:v>1.7770323753356934</x:v>
      </x:c>
      <x:c r="G140" s="48" t="n">
        <x:v>0</x:v>
      </x:c>
      <x:c r="H140" s="50" t="n">
        <x:v>0.0275952648371458</x:v>
      </x:c>
      <x:c r="I140" s="48" t="n">
        <x:v>0</x:v>
      </x:c>
    </x:row>
    <x:row r="141">
      <x:c r="A141" s="48" t="str">
        <x:v>CT0320_A1_001</x:v>
      </x:c>
      <x:c r="B141" s="48" t="str">
        <x:v>CT0320</x:v>
      </x:c>
      <x:c r="C141" s="48" t="str">
        <x:v>Atezolizumab</x:v>
      </x:c>
      <x:c r="D141" s="73" t="n">
        <x:v>30.4</x:v>
      </x:c>
      <x:c r="E141" s="73" t="n">
        <x:v>24.008197784423828</x:v>
      </x:c>
      <x:c r="F141" s="73" t="n">
        <x:v>24.008197784423828</x:v>
      </x:c>
      <x:c r="G141" s="48" t="n">
        <x:v>1</x:v>
      </x:c>
      <x:c r="H141" s="50" t="n">
        <x:v>0.8261669278144836</x:v>
      </x:c>
      <x:c r="I141" s="48" t="n">
        <x:v>1</x:v>
      </x:c>
    </x:row>
    <x:row r="142">
      <x:c r="A142" s="48" t="str">
        <x:v>CT0330_A1_004</x:v>
      </x:c>
      <x:c r="B142" s="48" t="str">
        <x:v>CT0330</x:v>
      </x:c>
      <x:c r="C142" s="48" t="str">
        <x:v>Bococizumab</x:v>
      </x:c>
      <x:c r="D142" s="73" t="n">
        <x:v>24</x:v>
      </x:c>
      <x:c r="E142" s="73" t="n">
        <x:v>33.301788330078125</x:v>
      </x:c>
      <x:c r="F142" s="73" t="n">
        <x:v>33.301788330078125</x:v>
      </x:c>
      <x:c r="G142" s="48" t="n">
        <x:v>1</x:v>
      </x:c>
      <x:c r="H142" s="50" t="n">
        <x:v>0.5746866464614868</x:v>
      </x:c>
      <x:c r="I142" s="48" t="n">
        <x:v>1</x:v>
      </x:c>
    </x:row>
    <x:row r="143">
      <x:c r="A143" s="48" t="str">
        <x:v>CT0330_A2_004</x:v>
      </x:c>
      <x:c r="B143" s="48" t="str">
        <x:v>CT0330</x:v>
      </x:c>
      <x:c r="C143" s="48" t="str">
        <x:v>Bococizumab</x:v>
      </x:c>
      <x:c r="D143" s="73" t="n">
        <x:v>24</x:v>
      </x:c>
      <x:c r="E143" s="73" t="n">
        <x:v>33.301788330078125</x:v>
      </x:c>
      <x:c r="F143" s="73" t="n">
        <x:v>33.301788330078125</x:v>
      </x:c>
      <x:c r="G143" s="48" t="n">
        <x:v>1</x:v>
      </x:c>
      <x:c r="H143" s="50" t="n">
        <x:v>0.5746866464614868</x:v>
      </x:c>
      <x:c r="I143" s="48" t="n">
        <x:v>1</x:v>
      </x:c>
    </x:row>
    <x:row r="144">
      <x:c r="A144" s="48" t="str">
        <x:v>CT0330_A3_004</x:v>
      </x:c>
      <x:c r="B144" s="48" t="str">
        <x:v>CT0330</x:v>
      </x:c>
      <x:c r="C144" s="48" t="str">
        <x:v>Bococizumab</x:v>
      </x:c>
      <x:c r="D144" s="73" t="n">
        <x:v>44</x:v>
      </x:c>
      <x:c r="E144" s="73" t="n">
        <x:v>33.301788330078125</x:v>
      </x:c>
      <x:c r="F144" s="73" t="n">
        <x:v>33.301788330078125</x:v>
      </x:c>
      <x:c r="G144" s="48" t="n">
        <x:v>1</x:v>
      </x:c>
      <x:c r="H144" s="50" t="n">
        <x:v>0.5746866464614868</x:v>
      </x:c>
      <x:c r="I144" s="48" t="n">
        <x:v>1</x:v>
      </x:c>
    </x:row>
    <x:row r="145">
      <x:c r="A145" s="48" t="str">
        <x:v>CT0347_A1_002</x:v>
      </x:c>
      <x:c r="B145" s="48" t="str">
        <x:v>CT0347</x:v>
      </x:c>
      <x:c r="C145" s="48" t="str">
        <x:v>Durvalumab</x:v>
      </x:c>
      <x:c r="D145" s="73" t="n">
        <x:v>1.9</x:v>
      </x:c>
      <x:c r="E145" s="73" t="n">
        <x:v>6.224353790283203</x:v>
      </x:c>
      <x:c r="F145" s="73" t="n">
        <x:v>6.224353790283203</x:v>
      </x:c>
      <x:c r="G145" s="48" t="n">
        <x:v>0</x:v>
      </x:c>
      <x:c r="H145" s="50" t="n">
        <x:v>0.1637897342443466</x:v>
      </x:c>
      <x:c r="I145" s="48" t="n">
        <x:v>0</x:v>
      </x:c>
    </x:row>
    <x:row r="146">
      <x:c r="A146" s="48" t="str">
        <x:v>CT0358_A2_001</x:v>
      </x:c>
      <x:c r="B146" s="48" t="str">
        <x:v>CT0358</x:v>
      </x:c>
      <x:c r="C146" s="48" t="str">
        <x:v>Galcanezumab</x:v>
      </x:c>
      <x:c r="D146" s="73" t="n">
        <x:v>7.7</x:v>
      </x:c>
      <x:c r="E146" s="73" t="n">
        <x:v>7.69748067855835</x:v>
      </x:c>
      <x:c r="F146" s="73" t="n">
        <x:v>7.69748067855835</x:v>
      </x:c>
      <x:c r="G146" s="48" t="n">
        <x:v>0</x:v>
      </x:c>
      <x:c r="H146" s="50" t="n">
        <x:v>0.3664729595184326</x:v>
      </x:c>
      <x:c r="I146" s="48" t="n">
        <x:v>0</x:v>
      </x:c>
    </x:row>
    <x:row r="147">
      <x:c r="A147" s="48" t="str">
        <x:v>CT0358_A3_001</x:v>
      </x:c>
      <x:c r="B147" s="48" t="str">
        <x:v>CT0358</x:v>
      </x:c>
      <x:c r="C147" s="48" t="str">
        <x:v>Galcanezumab</x:v>
      </x:c>
      <x:c r="D147" s="73" t="n">
        <x:v>4.6</x:v>
      </x:c>
      <x:c r="E147" s="73" t="n">
        <x:v>8.11386489868164</x:v>
      </x:c>
      <x:c r="F147" s="73" t="n">
        <x:v>8.11386489868164</x:v>
      </x:c>
      <x:c r="G147" s="48" t="n">
        <x:v>0</x:v>
      </x:c>
      <x:c r="H147" s="50" t="n">
        <x:v>0.3703581094741821</x:v>
      </x:c>
      <x:c r="I147" s="48" t="n">
        <x:v>0</x:v>
      </x:c>
    </x:row>
    <x:row r="148">
      <x:c r="A148" s="48" t="str">
        <x:v>CT0358_A4_001</x:v>
      </x:c>
      <x:c r="B148" s="48" t="str">
        <x:v>CT0358</x:v>
      </x:c>
      <x:c r="C148" s="48" t="str">
        <x:v>Galcanezumab</x:v>
      </x:c>
      <x:c r="D148" s="73" t="n">
        <x:v>2.9</x:v>
      </x:c>
      <x:c r="E148" s="73" t="n">
        <x:v>5.824270725250244</x:v>
      </x:c>
      <x:c r="F148" s="73" t="n">
        <x:v>5.824270725250244</x:v>
      </x:c>
      <x:c r="G148" s="48" t="n">
        <x:v>0</x:v>
      </x:c>
      <x:c r="H148" s="50" t="n">
        <x:v>0.3387744426727295</x:v>
      </x:c>
      <x:c r="I148" s="48" t="n">
        <x:v>0</x:v>
      </x:c>
    </x:row>
    <x:row r="149">
      <x:c r="A149" s="48" t="str">
        <x:v>CT0358_A5_001</x:v>
      </x:c>
      <x:c r="B149" s="48" t="str">
        <x:v>CT0358</x:v>
      </x:c>
      <x:c r="C149" s="48" t="str">
        <x:v>Galcanezumab</x:v>
      </x:c>
      <x:c r="D149" s="73" t="n">
        <x:v>3.1</x:v>
      </x:c>
      <x:c r="E149" s="73" t="n">
        <x:v>4.944068908691406</x:v>
      </x:c>
      <x:c r="F149" s="73" t="n">
        <x:v>4.944068908691406</x:v>
      </x:c>
      <x:c r="G149" s="48" t="n">
        <x:v>0</x:v>
      </x:c>
      <x:c r="H149" s="50" t="n">
        <x:v>0.2775867283344269</x:v>
      </x:c>
      <x:c r="I149" s="48" t="n">
        <x:v>0</x:v>
      </x:c>
    </x:row>
    <x:row r="150">
      <x:c r="A150" s="48" t="str">
        <x:v>CT0360_A1_001</x:v>
      </x:c>
      <x:c r="B150" s="48" t="str">
        <x:v>CT0360</x:v>
      </x:c>
      <x:c r="C150" s="48" t="str">
        <x:v>Brodalumab</x:v>
      </x:c>
      <x:c r="D150" s="73" t="n">
        <x:v>0</x:v>
      </x:c>
      <x:c r="E150" s="73" t="n">
        <x:v>2.97108006477356</x:v>
      </x:c>
      <x:c r="F150" s="73" t="n">
        <x:v>2.97108006477356</x:v>
      </x:c>
      <x:c r="G150" s="48" t="n">
        <x:v>0</x:v>
      </x:c>
      <x:c r="H150" s="50" t="n">
        <x:v>0.2721565961837768</x:v>
      </x:c>
      <x:c r="I150" s="48" t="n">
        <x:v>0</x:v>
      </x:c>
    </x:row>
    <x:row r="151">
      <x:c r="A151" s="48" t="str">
        <x:v>CT0360_A2_001</x:v>
      </x:c>
      <x:c r="B151" s="48" t="str">
        <x:v>CT0360</x:v>
      </x:c>
      <x:c r="C151" s="48" t="str">
        <x:v>Brodalumab</x:v>
      </x:c>
      <x:c r="D151" s="73" t="n">
        <x:v>0</x:v>
      </x:c>
      <x:c r="E151" s="73" t="n">
        <x:v>2.912606716156006</x:v>
      </x:c>
      <x:c r="F151" s="73" t="n">
        <x:v>2.912606716156006</x:v>
      </x:c>
      <x:c r="G151" s="48" t="n">
        <x:v>0</x:v>
      </x:c>
      <x:c r="H151" s="50" t="n">
        <x:v>0.2630443871021271</x:v>
      </x:c>
      <x:c r="I151" s="48" t="n">
        <x:v>0</x:v>
      </x:c>
    </x:row>
    <x:row r="152">
      <x:c r="A152" s="48" t="str">
        <x:v>CT0363_A1_002</x:v>
      </x:c>
      <x:c r="B152" s="48" t="str">
        <x:v>CT0363</x:v>
      </x:c>
      <x:c r="C152" s="48" t="str">
        <x:v>Tralokinumab</x:v>
      </x:c>
      <x:c r="D152" s="73" t="n">
        <x:v>1.2</x:v>
      </x:c>
      <x:c r="E152" s="73" t="n">
        <x:v>2.226255416870117</x:v>
      </x:c>
      <x:c r="F152" s="73" t="n">
        <x:v>2.226255416870117</x:v>
      </x:c>
      <x:c r="G152" s="48" t="n">
        <x:v>0</x:v>
      </x:c>
      <x:c r="H152" s="50" t="n">
        <x:v>0.0432628728449344</x:v>
      </x:c>
      <x:c r="I152" s="48" t="n">
        <x:v>0</x:v>
      </x:c>
    </x:row>
    <x:row r="153">
      <x:c r="A153" s="48" t="str">
        <x:v>CT0366_A1_001</x:v>
      </x:c>
      <x:c r="B153" s="48" t="str">
        <x:v>CT0366</x:v>
      </x:c>
      <x:c r="C153" s="48" t="str">
        <x:v>Moxetumomab pasudotox</x:v>
      </x:c>
      <x:c r="D153" s="73" t="n">
        <x:v>56.52173913</x:v>
      </x:c>
      <x:c r="E153" s="73" t="n">
        <x:v>66.1844253540039</x:v>
      </x:c>
      <x:c r="F153" s="73" t="n">
        <x:v>66.1844253540039</x:v>
      </x:c>
      <x:c r="G153" s="48" t="n">
        <x:v>1</x:v>
      </x:c>
      <x:c r="H153" s="50" t="n">
        <x:v>0.6859777569770813</x:v>
      </x:c>
      <x:c r="I153" s="48" t="n">
        <x:v>1</x:v>
      </x:c>
    </x:row>
    <x:row r="154">
      <x:c r="A154" s="48" t="str">
        <x:v>CT0343_A1_001</x:v>
      </x:c>
      <x:c r="B154" s="48" t="str">
        <x:v>CT0343</x:v>
      </x:c>
      <x:c r="C154" s="48" t="str">
        <x:v>Adalimumab</x:v>
      </x:c>
      <x:c r="D154" s="73" t="n">
        <x:v>32.3</x:v>
      </x:c>
      <x:c r="E154" s="73" t="n">
        <x:v>44.18300247192383</x:v>
      </x:c>
      <x:c r="F154" s="73" t="n">
        <x:v>44.18300247192383</x:v>
      </x:c>
      <x:c r="G154" s="48" t="n">
        <x:v>1</x:v>
      </x:c>
      <x:c r="H154" s="50" t="n">
        <x:v>0.8018552660942078</x:v>
      </x:c>
      <x:c r="I154" s="48" t="n">
        <x:v>1</x:v>
      </x:c>
    </x:row>
    <x:row r="155">
      <x:c r="A155" s="48" t="str">
        <x:v>CT0343_A2_001</x:v>
      </x:c>
      <x:c r="B155" s="48" t="str">
        <x:v>CT0343</x:v>
      </x:c>
      <x:c r="C155" s="48" t="str">
        <x:v>Adalimumab</x:v>
      </x:c>
      <x:c r="D155" s="73" t="n">
        <x:v>34.2</x:v>
      </x:c>
      <x:c r="E155" s="73" t="n">
        <x:v>43.623817443847656</x:v>
      </x:c>
      <x:c r="F155" s="73" t="n">
        <x:v>43.623817443847656</x:v>
      </x:c>
      <x:c r="G155" s="48" t="n">
        <x:v>1</x:v>
      </x:c>
      <x:c r="H155" s="50" t="n">
        <x:v>0.7999622821807861</x:v>
      </x:c>
      <x:c r="I155" s="48" t="n">
        <x:v>1</x:v>
      </x:c>
    </x:row>
    <x:row r="156">
      <x:c r="A156" s="48" t="str">
        <x:v>CT0372_A1_001</x:v>
      </x:c>
      <x:c r="B156" s="48" t="str">
        <x:v>CT0372</x:v>
      </x:c>
      <x:c r="C156" s="48" t="str">
        <x:v>Vobarilizumab</x:v>
      </x:c>
      <x:c r="D156" s="73" t="n">
        <x:v>11.3</x:v>
      </x:c>
      <x:c r="E156" s="73" t="n">
        <x:v>6.299509048461914</x:v>
      </x:c>
      <x:c r="F156" s="73" t="n">
        <x:v>6.299509048461914</x:v>
      </x:c>
      <x:c r="G156" s="48" t="n">
        <x:v>1</x:v>
      </x:c>
      <x:c r="H156" s="50" t="n">
        <x:v>0.2726540565490722</x:v>
      </x:c>
      <x:c r="I156" s="48" t="n">
        <x:v>0</x:v>
      </x:c>
    </x:row>
    <x:row r="157">
      <x:c r="A157" s="48" t="str">
        <x:v>CT0372_A2_001</x:v>
      </x:c>
      <x:c r="B157" s="48" t="str">
        <x:v>CT0372</x:v>
      </x:c>
      <x:c r="C157" s="48" t="str">
        <x:v>Vobarilizumab</x:v>
      </x:c>
      <x:c r="D157" s="73" t="n">
        <x:v>40.3</x:v>
      </x:c>
      <x:c r="E157" s="73" t="n">
        <x:v>6.299509048461914</x:v>
      </x:c>
      <x:c r="F157" s="73" t="n">
        <x:v>6.299509048461914</x:v>
      </x:c>
      <x:c r="G157" s="48" t="n">
        <x:v>1</x:v>
      </x:c>
      <x:c r="H157" s="50" t="n">
        <x:v>0.2726540565490722</x:v>
      </x:c>
      <x:c r="I157" s="48" t="n">
        <x:v>0</x:v>
      </x:c>
    </x:row>
    <x:row r="158">
      <x:c r="A158" s="48" t="str">
        <x:v>CT0372_A3_001</x:v>
      </x:c>
      <x:c r="B158" s="48" t="str">
        <x:v>CT0372</x:v>
      </x:c>
      <x:c r="C158" s="48" t="str">
        <x:v>Vobarilizumab</x:v>
      </x:c>
      <x:c r="D158" s="73" t="n">
        <x:v>41.3</x:v>
      </x:c>
      <x:c r="E158" s="73" t="n">
        <x:v>6.075376510620117</x:v>
      </x:c>
      <x:c r="F158" s="73" t="n">
        <x:v>6.075376510620117</x:v>
      </x:c>
      <x:c r="G158" s="48" t="n">
        <x:v>1</x:v>
      </x:c>
      <x:c r="H158" s="50" t="n">
        <x:v>0.2708176672458648</x:v>
      </x:c>
      <x:c r="I158" s="48" t="n">
        <x:v>0</x:v>
      </x:c>
    </x:row>
    <x:row r="159">
      <x:c r="A159" s="48" t="str">
        <x:v>CT0376_A1_001</x:v>
      </x:c>
      <x:c r="B159" s="48" t="str">
        <x:v>CT0376</x:v>
      </x:c>
      <x:c r="C159" s="48" t="str">
        <x:v>Ramucirumab</x:v>
      </x:c>
      <x:c r="D159" s="73" t="n">
        <x:v>1.238390093</x:v>
      </x:c>
      <x:c r="E159" s="73" t="n">
        <x:v>3.9445059299468994</x:v>
      </x:c>
      <x:c r="F159" s="73" t="n">
        <x:v>3.9445059299468994</x:v>
      </x:c>
      <x:c r="G159" s="48" t="n">
        <x:v>0</x:v>
      </x:c>
      <x:c r="H159" s="50" t="n">
        <x:v>0.0048571876250207</x:v>
      </x:c>
      <x:c r="I159" s="48" t="n">
        <x:v>0</x:v>
      </x:c>
    </x:row>
    <x:row r="160">
      <x:c r="A160" s="48" t="str">
        <x:v>CT0056_A1_002</x:v>
      </x:c>
      <x:c r="B160" s="48" t="str">
        <x:v>CT0056</x:v>
      </x:c>
      <x:c r="C160" s="48" t="str">
        <x:v>Reslizumab</x:v>
      </x:c>
      <x:c r="D160" s="73" t="n">
        <x:v>0</x:v>
      </x:c>
      <x:c r="E160" s="73" t="n">
        <x:v>26.14617156982422</x:v>
      </x:c>
      <x:c r="F160" s="73" t="n">
        <x:v>26.14617156982422</x:v>
      </x:c>
      <x:c r="G160" s="48" t="n">
        <x:v>0</x:v>
      </x:c>
      <x:c r="H160" s="50" t="n">
        <x:v>0.4144464135169983</x:v>
      </x:c>
      <x:c r="I160" s="48" t="n">
        <x:v>0</x:v>
      </x:c>
    </x:row>
    <x:row r="161">
      <x:c r="A161" s="48" t="str">
        <x:v>CT0080_A1_001</x:v>
      </x:c>
      <x:c r="B161" s="48" t="str">
        <x:v>CT0080</x:v>
      </x:c>
      <x:c r="C161" s="48" t="str">
        <x:v>Ofatumumab</x:v>
      </x:c>
      <x:c r="D161" s="73" t="n">
        <x:v>0</x:v>
      </x:c>
      <x:c r="E161" s="73" t="n">
        <x:v>0.6361874341964722</x:v>
      </x:c>
      <x:c r="F161" s="73" t="n">
        <x:v>0.6361874341964722</x:v>
      </x:c>
      <x:c r="G161" s="48" t="n">
        <x:v>0</x:v>
      </x:c>
      <x:c r="H161" s="50" t="n">
        <x:v>0.0702802836894989</x:v>
      </x:c>
      <x:c r="I161" s="48" t="n">
        <x:v>0</x:v>
      </x:c>
    </x:row>
    <x:row r="162">
      <x:c r="A162" s="48" t="str">
        <x:v>CT0080_A2_001</x:v>
      </x:c>
      <x:c r="B162" s="48" t="str">
        <x:v>CT0080</x:v>
      </x:c>
      <x:c r="C162" s="48" t="str">
        <x:v>Ofatumumab</x:v>
      </x:c>
      <x:c r="D162" s="73" t="n">
        <x:v>0</x:v>
      </x:c>
      <x:c r="E162" s="73" t="n">
        <x:v>0.625761866569519</x:v>
      </x:c>
      <x:c r="F162" s="73" t="n">
        <x:v>0.625761866569519</x:v>
      </x:c>
      <x:c r="G162" s="48" t="n">
        <x:v>0</x:v>
      </x:c>
      <x:c r="H162" s="50" t="n">
        <x:v>0.07163055986166</x:v>
      </x:c>
      <x:c r="I162" s="48" t="n">
        <x:v>0</x:v>
      </x:c>
    </x:row>
    <x:row r="163">
      <x:c r="A163" s="48" t="str">
        <x:v>CT0383_A1_002</x:v>
      </x:c>
      <x:c r="B163" s="48" t="str">
        <x:v>CT0383</x:v>
      </x:c>
      <x:c r="C163" s="48" t="str">
        <x:v>Pembrolizumab</x:v>
      </x:c>
      <x:c r="D163" s="73" t="n">
        <x:v>3.4</x:v>
      </x:c>
      <x:c r="E163" s="73" t="n">
        <x:v>8.086822509765625</x:v>
      </x:c>
      <x:c r="F163" s="73" t="n">
        <x:v>8.086822509765625</x:v>
      </x:c>
      <x:c r="G163" s="48" t="n">
        <x:v>0</x:v>
      </x:c>
      <x:c r="H163" s="50" t="n">
        <x:v>0.258625715970993</x:v>
      </x:c>
      <x:c r="I163" s="48" t="n">
        <x:v>0</x:v>
      </x:c>
    </x:row>
    <x:row r="164">
      <x:c r="A164" s="48" t="str">
        <x:v>CT0118_A1_002</x:v>
      </x:c>
      <x:c r="B164" s="48" t="str">
        <x:v>CT0118</x:v>
      </x:c>
      <x:c r="C164" s="48" t="str">
        <x:v>Tanezumab</x:v>
      </x:c>
      <x:c r="D164" s="73" t="n">
        <x:v>0</x:v>
      </x:c>
      <x:c r="E164" s="73" t="n">
        <x:v>0.0628676861524581</x:v>
      </x:c>
      <x:c r="F164" s="73" t="n">
        <x:v>0.0628676861524581</x:v>
      </x:c>
      <x:c r="G164" s="48" t="n">
        <x:v>0</x:v>
      </x:c>
      <x:c r="H164" s="50" t="n">
        <x:v>0.001603320473805</x:v>
      </x:c>
      <x:c r="I164" s="48" t="n">
        <x:v>0</x:v>
      </x:c>
    </x:row>
    <x:row r="165">
      <x:c r="A165" s="48" t="str">
        <x:v>CT0390_A1_001</x:v>
      </x:c>
      <x:c r="B165" s="48" t="str">
        <x:v>CT0390</x:v>
      </x:c>
      <x:c r="C165" s="48" t="str">
        <x:v>Evolocumab</x:v>
      </x:c>
      <x:c r="D165" s="73" t="n">
        <x:v>0</x:v>
      </x:c>
      <x:c r="E165" s="73" t="n">
        <x:v>9.2295560836792</x:v>
      </x:c>
      <x:c r="F165" s="73" t="n">
        <x:v>9.2295560836792</x:v>
      </x:c>
      <x:c r="G165" s="48" t="n">
        <x:v>0</x:v>
      </x:c>
      <x:c r="H165" s="50" t="n">
        <x:v>0.1369572728872299</x:v>
      </x:c>
      <x:c r="I165" s="48" t="n">
        <x:v>0</x:v>
      </x:c>
    </x:row>
    <x:row r="166">
      <x:c r="A166" s="48" t="str">
        <x:v>CT0391_A1_001</x:v>
      </x:c>
      <x:c r="B166" s="48" t="str">
        <x:v>CT0391</x:v>
      </x:c>
      <x:c r="C166" s="48" t="str">
        <x:v>Blinatumomab</x:v>
      </x:c>
      <x:c r="D166" s="73" t="n">
        <x:v>0</x:v>
      </x:c>
      <x:c r="E166" s="73" t="n">
        <x:v>2.552419662475586</x:v>
      </x:c>
      <x:c r="F166" s="73" t="n">
        <x:v>2.552419662475586</x:v>
      </x:c>
      <x:c r="G166" s="48" t="n">
        <x:v>0</x:v>
      </x:c>
      <x:c r="H166" s="50" t="n">
        <x:v>0.078805886209011</x:v>
      </x:c>
      <x:c r="I166" s="48" t="n">
        <x:v>0</x:v>
      </x:c>
    </x:row>
    <x:row r="167">
      <x:c r="A167" s="48" t="str">
        <x:v>CT0263_A1_001</x:v>
      </x:c>
      <x:c r="B167" s="48" t="str">
        <x:v>CT0263</x:v>
      </x:c>
      <x:c r="C167" s="48" t="str">
        <x:v>Adalimumab</x:v>
      </x:c>
      <x:c r="D167" s="73" t="n">
        <x:v>14</x:v>
      </x:c>
      <x:c r="E167" s="73" t="n">
        <x:v>23.078733444213867</x:v>
      </x:c>
      <x:c r="F167" s="73" t="n">
        <x:v>23.078733444213867</x:v>
      </x:c>
      <x:c r="G167" s="48" t="n">
        <x:v>1</x:v>
      </x:c>
      <x:c r="H167" s="50" t="n">
        <x:v>0.6350402235984802</x:v>
      </x:c>
      <x:c r="I167" s="48" t="n">
        <x:v>1</x:v>
      </x:c>
    </x:row>
    <x:row r="168">
      <x:c r="A168" s="48" t="str">
        <x:v>CT0263_A2_001</x:v>
      </x:c>
      <x:c r="B168" s="48" t="str">
        <x:v>CT0263</x:v>
      </x:c>
      <x:c r="C168" s="48" t="str">
        <x:v>Adalimumab</x:v>
      </x:c>
      <x:c r="D168" s="73" t="n">
        <x:v>16</x:v>
      </x:c>
      <x:c r="E168" s="73" t="n">
        <x:v>23.078733444213867</x:v>
      </x:c>
      <x:c r="F168" s="73" t="n">
        <x:v>23.078733444213867</x:v>
      </x:c>
      <x:c r="G168" s="48" t="n">
        <x:v>1</x:v>
      </x:c>
      <x:c r="H168" s="50" t="n">
        <x:v>0.6350402235984802</x:v>
      </x:c>
      <x:c r="I168" s="48" t="n">
        <x:v>1</x:v>
      </x:c>
    </x:row>
    <x:row r="169">
      <x:c r="A169" s="48" t="str">
        <x:v>CT0395_A1_002</x:v>
      </x:c>
      <x:c r="B169" s="48" t="str">
        <x:v>CT0395</x:v>
      </x:c>
      <x:c r="C169" s="48" t="str">
        <x:v>Atezolizumab</x:v>
      </x:c>
      <x:c r="D169" s="73" t="n">
        <x:v>24.3</x:v>
      </x:c>
      <x:c r="E169" s="73" t="n">
        <x:v>31.084571838378903</x:v>
      </x:c>
      <x:c r="F169" s="73" t="n">
        <x:v>31.084571838378903</x:v>
      </x:c>
      <x:c r="G169" s="48" t="n">
        <x:v>1</x:v>
      </x:c>
      <x:c r="H169" s="50" t="n">
        <x:v>0.9585619568824768</x:v>
      </x:c>
      <x:c r="I169" s="48" t="n">
        <x:v>1</x:v>
      </x:c>
    </x:row>
    <x:row r="170">
      <x:c r="A170" s="48" t="str">
        <x:v>CT0407_A1_002</x:v>
      </x:c>
      <x:c r="B170" s="48" t="str">
        <x:v>CT0407</x:v>
      </x:c>
      <x:c r="C170" s="48" t="str">
        <x:v>Imalumab</x:v>
      </x:c>
      <x:c r="D170" s="73" t="n">
        <x:v>0</x:v>
      </x:c>
      <x:c r="E170" s="73" t="n">
        <x:v>3.1334686279296875</x:v>
      </x:c>
      <x:c r="F170" s="73" t="n">
        <x:v>3.1334686279296875</x:v>
      </x:c>
      <x:c r="G170" s="48" t="n">
        <x:v>0</x:v>
      </x:c>
      <x:c r="H170" s="50" t="n">
        <x:v>0.1334879398345947</x:v>
      </x:c>
      <x:c r="I170" s="48" t="n">
        <x:v>0</x:v>
      </x:c>
    </x:row>
    <x:row r="171">
      <x:c r="A171" s="48" t="str">
        <x:v>CT0407_A2_002</x:v>
      </x:c>
      <x:c r="B171" s="48" t="str">
        <x:v>CT0407</x:v>
      </x:c>
      <x:c r="C171" s="48" t="str">
        <x:v>Imalumab</x:v>
      </x:c>
      <x:c r="D171" s="73" t="n">
        <x:v>0</x:v>
      </x:c>
      <x:c r="E171" s="73" t="n">
        <x:v>3.484732151031494</x:v>
      </x:c>
      <x:c r="F171" s="73" t="n">
        <x:v>3.484732151031494</x:v>
      </x:c>
      <x:c r="G171" s="48" t="n">
        <x:v>0</x:v>
      </x:c>
      <x:c r="H171" s="50" t="n">
        <x:v>0.1072921752929687</x:v>
      </x:c>
      <x:c r="I171" s="48" t="n">
        <x:v>0</x:v>
      </x:c>
    </x:row>
    <x:row r="172">
      <x:c r="A172" s="48" t="str">
        <x:v>CT0407_A3_002</x:v>
      </x:c>
      <x:c r="B172" s="48" t="str">
        <x:v>CT0407</x:v>
      </x:c>
      <x:c r="C172" s="48" t="str">
        <x:v>Imalumab</x:v>
      </x:c>
      <x:c r="D172" s="73" t="n">
        <x:v>0</x:v>
      </x:c>
      <x:c r="E172" s="73" t="n">
        <x:v>5.4169511795043945</x:v>
      </x:c>
      <x:c r="F172" s="73" t="n">
        <x:v>5.4169511795043945</x:v>
      </x:c>
      <x:c r="G172" s="48" t="n">
        <x:v>0</x:v>
      </x:c>
      <x:c r="H172" s="50" t="n">
        <x:v>0.2004500925540924</x:v>
      </x:c>
      <x:c r="I172" s="48" t="n">
        <x:v>0</x:v>
      </x:c>
    </x:row>
    <x:row r="173">
      <x:c r="A173" s="48" t="str">
        <x:v>CT0407_A4_002</x:v>
      </x:c>
      <x:c r="B173" s="48" t="str">
        <x:v>CT0407</x:v>
      </x:c>
      <x:c r="C173" s="48" t="str">
        <x:v>Imalumab</x:v>
      </x:c>
      <x:c r="D173" s="73" t="n">
        <x:v>5.6</x:v>
      </x:c>
      <x:c r="E173" s="73" t="n">
        <x:v>10.362380981445312</x:v>
      </x:c>
      <x:c r="F173" s="73" t="n">
        <x:v>10.362380981445312</x:v>
      </x:c>
      <x:c r="G173" s="48" t="n">
        <x:v>0</x:v>
      </x:c>
      <x:c r="H173" s="50" t="n">
        <x:v>0.2750506103038788</x:v>
      </x:c>
      <x:c r="I173" s="48" t="n">
        <x:v>0</x:v>
      </x:c>
    </x:row>
    <x:row r="174">
      <x:c r="A174" s="48" t="str">
        <x:v>CT0407_A5_002</x:v>
      </x:c>
      <x:c r="B174" s="48" t="str">
        <x:v>CT0407</x:v>
      </x:c>
      <x:c r="C174" s="48" t="str">
        <x:v>Imalumab</x:v>
      </x:c>
      <x:c r="D174" s="73" t="n">
        <x:v>0</x:v>
      </x:c>
      <x:c r="E174" s="73" t="n">
        <x:v>6.7440690994262695</x:v>
      </x:c>
      <x:c r="F174" s="73" t="n">
        <x:v>6.7440690994262695</x:v>
      </x:c>
      <x:c r="G174" s="48" t="n">
        <x:v>0</x:v>
      </x:c>
      <x:c r="H174" s="50" t="n">
        <x:v>0.2090040892362594</x:v>
      </x:c>
      <x:c r="I174" s="48" t="n">
        <x:v>0</x:v>
      </x:c>
    </x:row>
    <x:row r="175">
      <x:c r="A175" s="48" t="str">
        <x:v>CT0407_A7_002</x:v>
      </x:c>
      <x:c r="B175" s="48" t="str">
        <x:v>CT0407</x:v>
      </x:c>
      <x:c r="C175" s="48" t="str">
        <x:v>Imalumab</x:v>
      </x:c>
      <x:c r="D175" s="73" t="n">
        <x:v>0</x:v>
      </x:c>
      <x:c r="E175" s="73" t="n">
        <x:v>10.40858554840088</x:v>
      </x:c>
      <x:c r="F175" s="73" t="n">
        <x:v>10.40858554840088</x:v>
      </x:c>
      <x:c r="G175" s="48" t="n">
        <x:v>0</x:v>
      </x:c>
      <x:c r="H175" s="50" t="n">
        <x:v>0.2616225779056549</x:v>
      </x:c>
      <x:c r="I175" s="48" t="n">
        <x:v>0</x:v>
      </x:c>
    </x:row>
    <x:row r="176">
      <x:c r="A176" s="48" t="str">
        <x:v>CT0410_A2_002</x:v>
      </x:c>
      <x:c r="B176" s="48" t="str">
        <x:v>CT0410</x:v>
      </x:c>
      <x:c r="C176" s="48" t="str">
        <x:v>Tocilizumab</x:v>
      </x:c>
      <x:c r="D176" s="73" t="n">
        <x:v>2.9</x:v>
      </x:c>
      <x:c r="E176" s="73" t="n">
        <x:v>3.499379873275757</x:v>
      </x:c>
      <x:c r="F176" s="73" t="n">
        <x:v>3.499379873275757</x:v>
      </x:c>
      <x:c r="G176" s="48" t="n">
        <x:v>0</x:v>
      </x:c>
      <x:c r="H176" s="50" t="n">
        <x:v>0.0945917665958404</x:v>
      </x:c>
      <x:c r="I176" s="48" t="n">
        <x:v>0</x:v>
      </x:c>
    </x:row>
    <x:row r="177">
      <x:c r="A177" s="48" t="str">
        <x:v>CT0410_A2_003</x:v>
      </x:c>
      <x:c r="B177" s="48" t="str">
        <x:v>CT0410</x:v>
      </x:c>
      <x:c r="C177" s="48" t="str">
        <x:v>Tocilizumab</x:v>
      </x:c>
      <x:c r="D177" s="73" t="n">
        <x:v>0</x:v>
      </x:c>
      <x:c r="E177" s="73" t="n">
        <x:v>4.727187156677246</x:v>
      </x:c>
      <x:c r="F177" s="73" t="n">
        <x:v>4.727187156677246</x:v>
      </x:c>
      <x:c r="G177" s="48" t="n">
        <x:v>0</x:v>
      </x:c>
      <x:c r="H177" s="50" t="n">
        <x:v>0.1430524885654449</x:v>
      </x:c>
      <x:c r="I177" s="48" t="n">
        <x:v>0</x:v>
      </x:c>
    </x:row>
    <x:row r="178">
      <x:c r="A178" s="48" t="str">
        <x:v>CT0414_A1_001</x:v>
      </x:c>
      <x:c r="B178" s="48" t="str">
        <x:v>CT0414</x:v>
      </x:c>
      <x:c r="C178" s="48" t="str">
        <x:v>Adalimumab</x:v>
      </x:c>
      <x:c r="D178" s="73" t="n">
        <x:v>44.4</x:v>
      </x:c>
      <x:c r="E178" s="73" t="n">
        <x:v>34.71025848388672</x:v>
      </x:c>
      <x:c r="F178" s="73" t="n">
        <x:v>34.71025848388672</x:v>
      </x:c>
      <x:c r="G178" s="48" t="n">
        <x:v>1</x:v>
      </x:c>
      <x:c r="H178" s="50" t="n">
        <x:v>0.785042941570282</x:v>
      </x:c>
      <x:c r="I178" s="48" t="n">
        <x:v>1</x:v>
      </x:c>
    </x:row>
    <x:row r="179">
      <x:c r="A179" s="48" t="str">
        <x:v>CT0424_A1_002</x:v>
      </x:c>
      <x:c r="B179" s="48" t="str">
        <x:v>CT0424</x:v>
      </x:c>
      <x:c r="C179" s="48" t="str">
        <x:v>Cabiralizumab</x:v>
      </x:c>
      <x:c r="D179" s="73" t="n">
        <x:v>0</x:v>
      </x:c>
      <x:c r="E179" s="73" t="n">
        <x:v>7.521945476531982</x:v>
      </x:c>
      <x:c r="F179" s="73" t="n">
        <x:v>7.521945476531982</x:v>
      </x:c>
      <x:c r="G179" s="48" t="n">
        <x:v>0</x:v>
      </x:c>
      <x:c r="H179" s="50" t="n">
        <x:v>0.2435341775417328</x:v>
      </x:c>
      <x:c r="I179" s="48" t="n">
        <x:v>0</x:v>
      </x:c>
    </x:row>
    <x:row r="180">
      <x:c r="A180" s="48" t="str">
        <x:v>CT0424_A2_002</x:v>
      </x:c>
      <x:c r="B180" s="48" t="str">
        <x:v>CT0424</x:v>
      </x:c>
      <x:c r="C180" s="48" t="str">
        <x:v>Cabiralizumab</x:v>
      </x:c>
      <x:c r="D180" s="73" t="n">
        <x:v>12.5</x:v>
      </x:c>
      <x:c r="E180" s="73" t="n">
        <x:v>7.407204627990723</x:v>
      </x:c>
      <x:c r="F180" s="73" t="n">
        <x:v>7.407204627990723</x:v>
      </x:c>
      <x:c r="G180" s="48" t="n">
        <x:v>1</x:v>
      </x:c>
      <x:c r="H180" s="50" t="n">
        <x:v>0.2808006703853607</x:v>
      </x:c>
      <x:c r="I180" s="48" t="n">
        <x:v>0</x:v>
      </x:c>
    </x:row>
    <x:row r="181">
      <x:c r="A181" s="48" t="str">
        <x:v>CT0424_A3_002</x:v>
      </x:c>
      <x:c r="B181" s="48" t="str">
        <x:v>CT0424</x:v>
      </x:c>
      <x:c r="C181" s="48" t="str">
        <x:v>Cabiralizumab</x:v>
      </x:c>
      <x:c r="D181" s="73" t="n">
        <x:v>0</x:v>
      </x:c>
      <x:c r="E181" s="73" t="n">
        <x:v>5.731101989746094</x:v>
      </x:c>
      <x:c r="F181" s="73" t="n">
        <x:v>5.731101989746094</x:v>
      </x:c>
      <x:c r="G181" s="48" t="n">
        <x:v>0</x:v>
      </x:c>
      <x:c r="H181" s="50" t="n">
        <x:v>0.2377362549304962</x:v>
      </x:c>
      <x:c r="I181" s="48" t="n">
        <x:v>0</x:v>
      </x:c>
    </x:row>
    <x:row r="182">
      <x:c r="A182" s="48" t="str">
        <x:v>CT0424_A4_002</x:v>
      </x:c>
      <x:c r="B182" s="48" t="str">
        <x:v>CT0424</x:v>
      </x:c>
      <x:c r="C182" s="48" t="str">
        <x:v>Cabiralizumab</x:v>
      </x:c>
      <x:c r="D182" s="73" t="n">
        <x:v>0</x:v>
      </x:c>
      <x:c r="E182" s="73" t="n">
        <x:v>7.479245185852051</x:v>
      </x:c>
      <x:c r="F182" s="73" t="n">
        <x:v>7.479245185852051</x:v>
      </x:c>
      <x:c r="G182" s="48" t="n">
        <x:v>0</x:v>
      </x:c>
      <x:c r="H182" s="50" t="n">
        <x:v>0.2520413100719452</x:v>
      </x:c>
      <x:c r="I182" s="48" t="n">
        <x:v>0</x:v>
      </x:c>
    </x:row>
    <x:row r="183">
      <x:c r="A183" s="48" t="str">
        <x:v>CT0424_A5_002</x:v>
      </x:c>
      <x:c r="B183" s="48" t="str">
        <x:v>CT0424</x:v>
      </x:c>
      <x:c r="C183" s="48" t="str">
        <x:v>Cabiralizumab</x:v>
      </x:c>
      <x:c r="D183" s="73" t="n">
        <x:v>0</x:v>
      </x:c>
      <x:c r="E183" s="73" t="n">
        <x:v>7.521945476531982</x:v>
      </x:c>
      <x:c r="F183" s="73" t="n">
        <x:v>7.521945476531982</x:v>
      </x:c>
      <x:c r="G183" s="48" t="n">
        <x:v>0</x:v>
      </x:c>
      <x:c r="H183" s="50" t="n">
        <x:v>0.2435341775417328</x:v>
      </x:c>
      <x:c r="I183" s="48" t="n">
        <x:v>0</x:v>
      </x:c>
    </x:row>
    <x:row r="184">
      <x:c r="A184" s="48" t="str">
        <x:v>CT0424_A6_002</x:v>
      </x:c>
      <x:c r="B184" s="48" t="str">
        <x:v>CT0424</x:v>
      </x:c>
      <x:c r="C184" s="48" t="str">
        <x:v>Cabiralizumab</x:v>
      </x:c>
      <x:c r="D184" s="73" t="n">
        <x:v>10.4</x:v>
      </x:c>
      <x:c r="E184" s="73" t="n">
        <x:v>8.014671325683594</x:v>
      </x:c>
      <x:c r="F184" s="73" t="n">
        <x:v>8.014671325683594</x:v>
      </x:c>
      <x:c r="G184" s="48" t="n">
        <x:v>1</x:v>
      </x:c>
      <x:c r="H184" s="50" t="n">
        <x:v>0.3314679861068725</x:v>
      </x:c>
      <x:c r="I184" s="48" t="n">
        <x:v>0</x:v>
      </x:c>
    </x:row>
    <x:row r="185">
      <x:c r="A185" s="48" t="str">
        <x:v>CT0424_A7_002</x:v>
      </x:c>
      <x:c r="B185" s="48" t="str">
        <x:v>CT0424</x:v>
      </x:c>
      <x:c r="C185" s="48" t="str">
        <x:v>Cabiralizumab</x:v>
      </x:c>
      <x:c r="D185" s="73" t="n">
        <x:v>0</x:v>
      </x:c>
      <x:c r="E185" s="73" t="n">
        <x:v>7.432856559753418</x:v>
      </x:c>
      <x:c r="F185" s="73" t="n">
        <x:v>7.432856559753418</x:v>
      </x:c>
      <x:c r="G185" s="48" t="n">
        <x:v>0</x:v>
      </x:c>
      <x:c r="H185" s="50" t="n">
        <x:v>0.2738278806209564</x:v>
      </x:c>
      <x:c r="I185" s="48" t="n">
        <x:v>0</x:v>
      </x:c>
    </x:row>
    <x:row r="186">
      <x:c r="A186" s="48" t="str">
        <x:v>CT0424_A8_002</x:v>
      </x:c>
      <x:c r="B186" s="48" t="str">
        <x:v>CT0424</x:v>
      </x:c>
      <x:c r="C186" s="48" t="str">
        <x:v>Cabiralizumab</x:v>
      </x:c>
      <x:c r="D186" s="73" t="n">
        <x:v>33.3</x:v>
      </x:c>
      <x:c r="E186" s="73" t="n">
        <x:v>7.129010677337647</x:v>
      </x:c>
      <x:c r="F186" s="73" t="n">
        <x:v>7.129010677337647</x:v>
      </x:c>
      <x:c r="G186" s="48" t="n">
        <x:v>1</x:v>
      </x:c>
      <x:c r="H186" s="50" t="n">
        <x:v>0.2744303345680237</x:v>
      </x:c>
      <x:c r="I186" s="48" t="n">
        <x:v>0</x:v>
      </x:c>
    </x:row>
    <x:row r="187">
      <x:c r="A187" s="48" t="str">
        <x:v>CT0424_A4_004</x:v>
      </x:c>
      <x:c r="B187" s="48" t="str">
        <x:v>CT0424</x:v>
      </x:c>
      <x:c r="C187" s="48" t="str">
        <x:v>Nivolumab</x:v>
      </x:c>
      <x:c r="D187" s="73" t="n">
        <x:v>33.3</x:v>
      </x:c>
      <x:c r="E187" s="73" t="n">
        <x:v>10.495450973510742</x:v>
      </x:c>
      <x:c r="F187" s="73" t="n">
        <x:v>10.495450973510742</x:v>
      </x:c>
      <x:c r="G187" s="48" t="n">
        <x:v>1</x:v>
      </x:c>
      <x:c r="H187" s="50" t="n">
        <x:v>0.3359113037586212</x:v>
      </x:c>
      <x:c r="I187" s="48" t="n">
        <x:v>0</x:v>
      </x:c>
    </x:row>
    <x:row r="188">
      <x:c r="A188" s="48" t="str">
        <x:v>CT0424_A5_004</x:v>
      </x:c>
      <x:c r="B188" s="48" t="str">
        <x:v>CT0424</x:v>
      </x:c>
      <x:c r="C188" s="48" t="str">
        <x:v>Nivolumab</x:v>
      </x:c>
      <x:c r="D188" s="73" t="n">
        <x:v>0</x:v>
      </x:c>
      <x:c r="E188" s="73" t="n">
        <x:v>11.124561309814451</x:v>
      </x:c>
      <x:c r="F188" s="73" t="n">
        <x:v>11.124561309814451</x:v>
      </x:c>
      <x:c r="G188" s="48" t="n">
        <x:v>0</x:v>
      </x:c>
      <x:c r="H188" s="50" t="n">
        <x:v>0.3303231000900268</x:v>
      </x:c>
      <x:c r="I188" s="48" t="n">
        <x:v>0</x:v>
      </x:c>
    </x:row>
    <x:row r="189">
      <x:c r="A189" s="48" t="str">
        <x:v>CT0424_A6_004</x:v>
      </x:c>
      <x:c r="B189" s="48" t="str">
        <x:v>CT0424</x:v>
      </x:c>
      <x:c r="C189" s="48" t="str">
        <x:v>Nivolumab</x:v>
      </x:c>
      <x:c r="D189" s="73" t="n">
        <x:v>22.9</x:v>
      </x:c>
      <x:c r="E189" s="73" t="n">
        <x:v>7.602490425109863</x:v>
      </x:c>
      <x:c r="F189" s="73" t="n">
        <x:v>7.602490425109863</x:v>
      </x:c>
      <x:c r="G189" s="48" t="n">
        <x:v>1</x:v>
      </x:c>
      <x:c r="H189" s="50" t="n">
        <x:v>0.3901405036449432</x:v>
      </x:c>
      <x:c r="I189" s="48" t="n">
        <x:v>0</x:v>
      </x:c>
    </x:row>
    <x:row r="190">
      <x:c r="A190" s="48" t="str">
        <x:v>CT0424_A7_004</x:v>
      </x:c>
      <x:c r="B190" s="48" t="str">
        <x:v>CT0424</x:v>
      </x:c>
      <x:c r="C190" s="48" t="str">
        <x:v>Nivolumab</x:v>
      </x:c>
      <x:c r="D190" s="73" t="n">
        <x:v>16.7</x:v>
      </x:c>
      <x:c r="E190" s="73" t="n">
        <x:v>13.70047378540039</x:v>
      </x:c>
      <x:c r="F190" s="73" t="n">
        <x:v>13.70047378540039</x:v>
      </x:c>
      <x:c r="G190" s="48" t="n">
        <x:v>1</x:v>
      </x:c>
      <x:c r="H190" s="50" t="n">
        <x:v>0.444688081741333</x:v>
      </x:c>
      <x:c r="I190" s="48" t="n">
        <x:v>0</x:v>
      </x:c>
    </x:row>
    <x:row r="191">
      <x:c r="A191" s="48" t="str">
        <x:v>CT0424_A8_004</x:v>
      </x:c>
      <x:c r="B191" s="48" t="str">
        <x:v>CT0424</x:v>
      </x:c>
      <x:c r="C191" s="48" t="str">
        <x:v>Nivolumab</x:v>
      </x:c>
      <x:c r="D191" s="73" t="n">
        <x:v>33.3</x:v>
      </x:c>
      <x:c r="E191" s="73" t="n">
        <x:v>13.42266845703125</x:v>
      </x:c>
      <x:c r="F191" s="73" t="n">
        <x:v>13.42266845703125</x:v>
      </x:c>
      <x:c r="G191" s="48" t="n">
        <x:v>1</x:v>
      </x:c>
      <x:c r="H191" s="50" t="n">
        <x:v>0.4902346432209015</x:v>
      </x:c>
      <x:c r="I191" s="48" t="n">
        <x:v>0</x:v>
      </x:c>
    </x:row>
    <x:row r="192">
      <x:c r="A192" s="48" t="str">
        <x:v>CT0425_A3_001</x:v>
      </x:c>
      <x:c r="B192" s="48" t="str">
        <x:v>CT0425</x:v>
      </x:c>
      <x:c r="C192" s="48" t="str">
        <x:v>Tanezumab</x:v>
      </x:c>
      <x:c r="D192" s="73" t="n">
        <x:v>13</x:v>
      </x:c>
      <x:c r="E192" s="73" t="n">
        <x:v>11.857381820678713</x:v>
      </x:c>
      <x:c r="F192" s="73" t="n">
        <x:v>11.857381820678713</x:v>
      </x:c>
      <x:c r="G192" s="48" t="n">
        <x:v>1</x:v>
      </x:c>
      <x:c r="H192" s="50" t="n">
        <x:v>0.3235580921173095</x:v>
      </x:c>
      <x:c r="I192" s="48" t="n">
        <x:v>0</x:v>
      </x:c>
    </x:row>
    <x:row r="193">
      <x:c r="A193" s="48" t="str">
        <x:v>CT0425_A1_002</x:v>
      </x:c>
      <x:c r="B193" s="48" t="str">
        <x:v>CT0425</x:v>
      </x:c>
      <x:c r="C193" s="48" t="str">
        <x:v>Tanezumab</x:v>
      </x:c>
      <x:c r="D193" s="73" t="n">
        <x:v>10.1</x:v>
      </x:c>
      <x:c r="E193" s="73" t="n">
        <x:v>9.127901077270508</x:v>
      </x:c>
      <x:c r="F193" s="73" t="n">
        <x:v>9.127901077270508</x:v>
      </x:c>
      <x:c r="G193" s="48" t="n">
        <x:v>1</x:v>
      </x:c>
      <x:c r="H193" s="50" t="n">
        <x:v>0.327901691198349</x:v>
      </x:c>
      <x:c r="I193" s="48" t="n">
        <x:v>0</x:v>
      </x:c>
    </x:row>
    <x:row r="194">
      <x:c r="A194" s="48" t="str">
        <x:v>CT0425_A3_002</x:v>
      </x:c>
      <x:c r="B194" s="48" t="str">
        <x:v>CT0425</x:v>
      </x:c>
      <x:c r="C194" s="48" t="str">
        <x:v>Tanezumab</x:v>
      </x:c>
      <x:c r="D194" s="73" t="n">
        <x:v>15.9</x:v>
      </x:c>
      <x:c r="E194" s="73" t="n">
        <x:v>11.194235801696776</x:v>
      </x:c>
      <x:c r="F194" s="73" t="n">
        <x:v>11.194235801696776</x:v>
      </x:c>
      <x:c r="G194" s="48" t="n">
        <x:v>1</x:v>
      </x:c>
      <x:c r="H194" s="50" t="n">
        <x:v>0.3257355093955993</x:v>
      </x:c>
      <x:c r="I194" s="48" t="n">
        <x:v>0</x:v>
      </x:c>
    </x:row>
    <x:row r="195">
      <x:c r="A195" s="48" t="str">
        <x:v>CT0425_A1_003</x:v>
      </x:c>
      <x:c r="B195" s="48" t="str">
        <x:v>CT0425</x:v>
      </x:c>
      <x:c r="C195" s="48" t="str">
        <x:v>Tanezumab</x:v>
      </x:c>
      <x:c r="D195" s="73" t="n">
        <x:v>13.5</x:v>
      </x:c>
      <x:c r="E195" s="73" t="n">
        <x:v>9.602291107177734</x:v>
      </x:c>
      <x:c r="F195" s="73" t="n">
        <x:v>9.602291107177734</x:v>
      </x:c>
      <x:c r="G195" s="48" t="n">
        <x:v>1</x:v>
      </x:c>
      <x:c r="H195" s="50" t="n">
        <x:v>0.3299321830272674</x:v>
      </x:c>
      <x:c r="I195" s="48" t="n">
        <x:v>0</x:v>
      </x:c>
    </x:row>
    <x:row r="196">
      <x:c r="A196" s="48" t="str">
        <x:v>CT0425_A3_003</x:v>
      </x:c>
      <x:c r="B196" s="48" t="str">
        <x:v>CT0425</x:v>
      </x:c>
      <x:c r="C196" s="48" t="str">
        <x:v>Tanezumab</x:v>
      </x:c>
      <x:c r="D196" s="73" t="n">
        <x:v>21.1</x:v>
      </x:c>
      <x:c r="E196" s="73" t="n">
        <x:v>14.523658752441406</x:v>
      </x:c>
      <x:c r="F196" s="73" t="n">
        <x:v>14.523658752441406</x:v>
      </x:c>
      <x:c r="G196" s="48" t="n">
        <x:v>1</x:v>
      </x:c>
      <x:c r="H196" s="50" t="n">
        <x:v>0.3573853373527527</x:v>
      </x:c>
      <x:c r="I196" s="48" t="n">
        <x:v>0</x:v>
      </x:c>
    </x:row>
    <x:row r="197">
      <x:c r="A197" s="48" t="str">
        <x:v>CT0425_A1_004</x:v>
      </x:c>
      <x:c r="B197" s="48" t="str">
        <x:v>CT0425</x:v>
      </x:c>
      <x:c r="C197" s="48" t="str">
        <x:v>Tanezumab</x:v>
      </x:c>
      <x:c r="D197" s="73" t="n">
        <x:v>16.1</x:v>
      </x:c>
      <x:c r="E197" s="73" t="n">
        <x:v>13.085770606994627</x:v>
      </x:c>
      <x:c r="F197" s="73" t="n">
        <x:v>13.085770606994627</x:v>
      </x:c>
      <x:c r="G197" s="48" t="n">
        <x:v>1</x:v>
      </x:c>
      <x:c r="H197" s="50" t="n">
        <x:v>0.352638840675354</x:v>
      </x:c>
      <x:c r="I197" s="48" t="n">
        <x:v>0</x:v>
      </x:c>
    </x:row>
    <x:row r="198">
      <x:c r="A198" s="48" t="str">
        <x:v>CT0425_A3_004</x:v>
      </x:c>
      <x:c r="B198" s="48" t="str">
        <x:v>CT0425</x:v>
      </x:c>
      <x:c r="C198" s="48" t="str">
        <x:v>Tanezumab</x:v>
      </x:c>
      <x:c r="D198" s="73" t="n">
        <x:v>20.6</x:v>
      </x:c>
      <x:c r="E198" s="73" t="n">
        <x:v>15.556293487548828</x:v>
      </x:c>
      <x:c r="F198" s="73" t="n">
        <x:v>15.556293487548828</x:v>
      </x:c>
      <x:c r="G198" s="48" t="n">
        <x:v>1</x:v>
      </x:c>
      <x:c r="H198" s="50" t="n">
        <x:v>0.3648208677768707</x:v>
      </x:c>
      <x:c r="I198" s="48" t="n">
        <x:v>0</x:v>
      </x:c>
    </x:row>
    <x:row r="199">
      <x:c r="A199" s="48" t="str">
        <x:v>CT0425_A1_005</x:v>
      </x:c>
      <x:c r="B199" s="48" t="str">
        <x:v>CT0425</x:v>
      </x:c>
      <x:c r="C199" s="48" t="str">
        <x:v>Tanezumab</x:v>
      </x:c>
      <x:c r="D199" s="73" t="n">
        <x:v>17.6</x:v>
      </x:c>
      <x:c r="E199" s="73" t="n">
        <x:v>14.336553573608398</x:v>
      </x:c>
      <x:c r="F199" s="73" t="n">
        <x:v>14.336553573608398</x:v>
      </x:c>
      <x:c r="G199" s="48" t="n">
        <x:v>1</x:v>
      </x:c>
      <x:c r="H199" s="50" t="n">
        <x:v>0.3580144643783569</x:v>
      </x:c>
      <x:c r="I199" s="48" t="n">
        <x:v>0</x:v>
      </x:c>
    </x:row>
    <x:row r="200">
      <x:c r="A200" s="48" t="str">
        <x:v>CT0425_A3_005</x:v>
      </x:c>
      <x:c r="B200" s="48" t="str">
        <x:v>CT0425</x:v>
      </x:c>
      <x:c r="C200" s="48" t="str">
        <x:v>Tanezumab</x:v>
      </x:c>
      <x:c r="D200" s="73" t="n">
        <x:v>18.8</x:v>
      </x:c>
      <x:c r="E200" s="73" t="n">
        <x:v>17.093563079833984</x:v>
      </x:c>
      <x:c r="F200" s="73" t="n">
        <x:v>17.093563079833984</x:v>
      </x:c>
      <x:c r="G200" s="48" t="n">
        <x:v>1</x:v>
      </x:c>
      <x:c r="H200" s="50" t="n">
        <x:v>0.3728189468383789</x:v>
      </x:c>
      <x:c r="I200" s="48" t="n">
        <x:v>0</x:v>
      </x:c>
    </x:row>
    <x:row r="201">
      <x:c r="A201" s="48" t="str">
        <x:v>CT0425_A1_006</x:v>
      </x:c>
      <x:c r="B201" s="48" t="str">
        <x:v>CT0425</x:v>
      </x:c>
      <x:c r="C201" s="48" t="str">
        <x:v>Tanezumab</x:v>
      </x:c>
      <x:c r="D201" s="73" t="n">
        <x:v>16</x:v>
      </x:c>
      <x:c r="E201" s="73" t="n">
        <x:v>15.496009826660156</x:v>
      </x:c>
      <x:c r="F201" s="73" t="n">
        <x:v>15.496009826660156</x:v>
      </x:c>
      <x:c r="G201" s="48" t="n">
        <x:v>1</x:v>
      </x:c>
      <x:c r="H201" s="50" t="n">
        <x:v>0.3664257824420929</x:v>
      </x:c>
      <x:c r="I201" s="48" t="n">
        <x:v>0</x:v>
      </x:c>
    </x:row>
    <x:row r="202">
      <x:c r="A202" s="48" t="str">
        <x:v>CT0425_A3_006</x:v>
      </x:c>
      <x:c r="B202" s="48" t="str">
        <x:v>CT0425</x:v>
      </x:c>
      <x:c r="C202" s="48" t="str">
        <x:v>Tanezumab</x:v>
      </x:c>
      <x:c r="D202" s="73" t="n">
        <x:v>16.4</x:v>
      </x:c>
      <x:c r="E202" s="73" t="n">
        <x:v>18.018043518066406</x:v>
      </x:c>
      <x:c r="F202" s="73" t="n">
        <x:v>18.018043518066406</x:v>
      </x:c>
      <x:c r="G202" s="48" t="n">
        <x:v>1</x:v>
      </x:c>
      <x:c r="H202" s="50" t="n">
        <x:v>0.3806830644607544</x:v>
      </x:c>
      <x:c r="I202" s="48" t="n">
        <x:v>0</x:v>
      </x:c>
    </x:row>
    <x:row r="203">
      <x:c r="A203" s="48" t="str">
        <x:v>CT0425_A1_007</x:v>
      </x:c>
      <x:c r="B203" s="48" t="str">
        <x:v>CT0425</x:v>
      </x:c>
      <x:c r="C203" s="48" t="str">
        <x:v>Tanezumab</x:v>
      </x:c>
      <x:c r="D203" s="73" t="n">
        <x:v>15.4</x:v>
      </x:c>
      <x:c r="E203" s="73" t="n">
        <x:v>16.804443359375</x:v>
      </x:c>
      <x:c r="F203" s="73" t="n">
        <x:v>16.804443359375</x:v>
      </x:c>
      <x:c r="G203" s="48" t="n">
        <x:v>1</x:v>
      </x:c>
      <x:c r="H203" s="50" t="n">
        <x:v>0.367690771818161</x:v>
      </x:c>
      <x:c r="I203" s="48" t="n">
        <x:v>0</x:v>
      </x:c>
    </x:row>
    <x:row r="204">
      <x:c r="A204" s="48" t="str">
        <x:v>CT0425_A3_007</x:v>
      </x:c>
      <x:c r="B204" s="48" t="str">
        <x:v>CT0425</x:v>
      </x:c>
      <x:c r="C204" s="48" t="str">
        <x:v>Tanezumab</x:v>
      </x:c>
      <x:c r="D204" s="73" t="n">
        <x:v>12.1</x:v>
      </x:c>
      <x:c r="E204" s="73" t="n">
        <x:v>18.49401092529297</x:v>
      </x:c>
      <x:c r="F204" s="73" t="n">
        <x:v>18.49401092529297</x:v>
      </x:c>
      <x:c r="G204" s="48" t="n">
        <x:v>1</x:v>
      </x:c>
      <x:c r="H204" s="50" t="n">
        <x:v>0.3725444674491882</x:v>
      </x:c>
      <x:c r="I204" s="48" t="n">
        <x:v>0</x:v>
      </x:c>
    </x:row>
    <x:row r="205">
      <x:c r="A205" s="48" t="str">
        <x:v>CT0425_A1_008</x:v>
      </x:c>
      <x:c r="B205" s="48" t="str">
        <x:v>CT0425</x:v>
      </x:c>
      <x:c r="C205" s="48" t="str">
        <x:v>Tanezumab</x:v>
      </x:c>
      <x:c r="D205" s="73" t="n">
        <x:v>10.9</x:v>
      </x:c>
      <x:c r="E205" s="73" t="n">
        <x:v>17.222679138183594</x:v>
      </x:c>
      <x:c r="F205" s="73" t="n">
        <x:v>17.222679138183594</x:v>
      </x:c>
      <x:c r="G205" s="48" t="n">
        <x:v>1</x:v>
      </x:c>
      <x:c r="H205" s="50" t="n">
        <x:v>0.3708290159702301</x:v>
      </x:c>
      <x:c r="I205" s="48" t="n">
        <x:v>0</x:v>
      </x:c>
    </x:row>
    <x:row r="206">
      <x:c r="A206" s="48" t="str">
        <x:v>CT0430_A1_002</x:v>
      </x:c>
      <x:c r="B206" s="48" t="str">
        <x:v>CT0430</x:v>
      </x:c>
      <x:c r="C206" s="48" t="str">
        <x:v>Atezolizumab</x:v>
      </x:c>
      <x:c r="D206" s="73" t="n">
        <x:v>14.3</x:v>
      </x:c>
      <x:c r="E206" s="73" t="n">
        <x:v>31.43847274780273</x:v>
      </x:c>
      <x:c r="F206" s="73" t="n">
        <x:v>31.43847274780273</x:v>
      </x:c>
      <x:c r="G206" s="48" t="n">
        <x:v>1</x:v>
      </x:c>
      <x:c r="H206" s="50" t="n">
        <x:v>0.9066084027290344</x:v>
      </x:c>
      <x:c r="I206" s="48" t="n">
        <x:v>1</x:v>
      </x:c>
    </x:row>
    <x:row r="207">
      <x:c r="A207" s="48" t="str">
        <x:v>CT0431_A1_002</x:v>
      </x:c>
      <x:c r="B207" s="48" t="str">
        <x:v>CT0431</x:v>
      </x:c>
      <x:c r="C207" s="48" t="str">
        <x:v>Durvalumab</x:v>
      </x:c>
      <x:c r="D207" s="73" t="n">
        <x:v>4.5</x:v>
      </x:c>
      <x:c r="E207" s="73" t="n">
        <x:v>5.998218536376953</x:v>
      </x:c>
      <x:c r="F207" s="73" t="n">
        <x:v>5.998218536376953</x:v>
      </x:c>
      <x:c r="G207" s="48" t="n">
        <x:v>0</x:v>
      </x:c>
      <x:c r="H207" s="50" t="n">
        <x:v>0.2002170979976654</x:v>
      </x:c>
      <x:c r="I207" s="48" t="n">
        <x:v>0</x:v>
      </x:c>
    </x:row>
    <x:row r="208">
      <x:c r="A208" s="48" t="str">
        <x:v>CT0431_A2_002</x:v>
      </x:c>
      <x:c r="B208" s="48" t="str">
        <x:v>CT0431</x:v>
      </x:c>
      <x:c r="C208" s="48" t="str">
        <x:v>Durvalumab</x:v>
      </x:c>
      <x:c r="D208" s="73" t="n">
        <x:v>1.6</x:v>
      </x:c>
      <x:c r="E208" s="73" t="n">
        <x:v>5.879446506500244</x:v>
      </x:c>
      <x:c r="F208" s="73" t="n">
        <x:v>5.879446506500244</x:v>
      </x:c>
      <x:c r="G208" s="48" t="n">
        <x:v>0</x:v>
      </x:c>
      <x:c r="H208" s="50" t="n">
        <x:v>0.1886322498321533</x:v>
      </x:c>
      <x:c r="I208" s="48" t="n">
        <x:v>0</x:v>
      </x:c>
    </x:row>
    <x:row r="209">
      <x:c r="A209" s="48" t="str">
        <x:v>CT0431_A1_007</x:v>
      </x:c>
      <x:c r="B209" s="48" t="str">
        <x:v>CT0431</x:v>
      </x:c>
      <x:c r="C209" s="48" t="str">
        <x:v>Tremelimumab</x:v>
      </x:c>
      <x:c r="D209" s="73" t="n">
        <x:v>14</x:v>
      </x:c>
      <x:c r="E209" s="73" t="n">
        <x:v>12.683411598205566</x:v>
      </x:c>
      <x:c r="F209" s="73" t="n">
        <x:v>12.683411598205566</x:v>
      </x:c>
      <x:c r="G209" s="48" t="n">
        <x:v>1</x:v>
      </x:c>
      <x:c r="H209" s="50" t="n">
        <x:v>0.6238217949867249</x:v>
      </x:c>
      <x:c r="I209" s="48" t="n">
        <x:v>1</x:v>
      </x:c>
    </x:row>
    <x:row r="210">
      <x:c r="A210" s="48" t="str">
        <x:v>CT0431_A2_007</x:v>
      </x:c>
      <x:c r="B210" s="48" t="str">
        <x:v>CT0431</x:v>
      </x:c>
      <x:c r="C210" s="48" t="str">
        <x:v>Tremelimumab</x:v>
      </x:c>
      <x:c r="D210" s="73" t="n">
        <x:v>1.6</x:v>
      </x:c>
      <x:c r="E210" s="73" t="n">
        <x:v>10.895147323608398</x:v>
      </x:c>
      <x:c r="F210" s="73" t="n">
        <x:v>10.895147323608398</x:v>
      </x:c>
      <x:c r="G210" s="48" t="n">
        <x:v>0</x:v>
      </x:c>
      <x:c r="H210" s="50" t="n">
        <x:v>0.4786905646324157</x:v>
      </x:c>
      <x:c r="I210" s="48" t="n">
        <x:v>0</x:v>
      </x:c>
    </x:row>
    <x:row r="211">
      <x:c r="A211" s="48" t="str">
        <x:v>CT0414_A3_001</x:v>
      </x:c>
      <x:c r="B211" s="48" t="str">
        <x:v>CT0414</x:v>
      </x:c>
      <x:c r="C211" s="48" t="str">
        <x:v>Adalimumab</x:v>
      </x:c>
      <x:c r="D211" s="73" t="n">
        <x:v>50.7</x:v>
      </x:c>
      <x:c r="E211" s="73" t="n">
        <x:v>15.55529499053955</x:v>
      </x:c>
      <x:c r="F211" s="73" t="n">
        <x:v>15.55529499053955</x:v>
      </x:c>
      <x:c r="G211" s="48" t="n">
        <x:v>1</x:v>
      </x:c>
      <x:c r="H211" s="50" t="n">
        <x:v>0.5005066394805908</x:v>
      </x:c>
      <x:c r="I211" s="48" t="n">
        <x:v>1</x:v>
      </x:c>
    </x:row>
    <x:row r="212">
      <x:c r="A212" s="48" t="str">
        <x:v>CT0394_A1_001</x:v>
      </x:c>
      <x:c r="B212" s="48" t="str">
        <x:v>CT0394</x:v>
      </x:c>
      <x:c r="C212" s="48" t="str">
        <x:v>Adalimumab</x:v>
      </x:c>
      <x:c r="D212" s="73" t="n">
        <x:v>61.6</x:v>
      </x:c>
      <x:c r="E212" s="73" t="n">
        <x:v>55.03993225097656</x:v>
      </x:c>
      <x:c r="F212" s="73" t="n">
        <x:v>55.03993225097656</x:v>
      </x:c>
      <x:c r="G212" s="48" t="n">
        <x:v>1</x:v>
      </x:c>
      <x:c r="H212" s="50" t="n">
        <x:v>0.8763430118560791</x:v>
      </x:c>
      <x:c r="I212" s="48" t="n">
        <x:v>1</x:v>
      </x:c>
    </x:row>
    <x:row r="213">
      <x:c r="A213" s="48" t="str">
        <x:v>CT0394_A1_002</x:v>
      </x:c>
      <x:c r="B213" s="48" t="str">
        <x:v>CT0394</x:v>
      </x:c>
      <x:c r="C213" s="48" t="str">
        <x:v>Adalimumab</x:v>
      </x:c>
      <x:c r="D213" s="73" t="n">
        <x:v>53</x:v>
      </x:c>
      <x:c r="E213" s="73" t="n">
        <x:v>54.77400207519531</x:v>
      </x:c>
      <x:c r="F213" s="73" t="n">
        <x:v>54.77400207519531</x:v>
      </x:c>
      <x:c r="G213" s="48" t="n">
        <x:v>1</x:v>
      </x:c>
      <x:c r="H213" s="50" t="n">
        <x:v>0.8734058141708374</x:v>
      </x:c>
      <x:c r="I213" s="48" t="n">
        <x:v>1</x:v>
      </x:c>
    </x:row>
    <x:row r="214">
      <x:c r="A214" s="48" t="str">
        <x:v>CT0394_A1_003</x:v>
      </x:c>
      <x:c r="B214" s="48" t="str">
        <x:v>CT0394</x:v>
      </x:c>
      <x:c r="C214" s="48" t="str">
        <x:v>Adalimumab</x:v>
      </x:c>
      <x:c r="D214" s="73" t="n">
        <x:v>50.3</x:v>
      </x:c>
      <x:c r="E214" s="73" t="n">
        <x:v>54.72469711303711</x:v>
      </x:c>
      <x:c r="F214" s="73" t="n">
        <x:v>54.72469711303711</x:v>
      </x:c>
      <x:c r="G214" s="48" t="n">
        <x:v>1</x:v>
      </x:c>
      <x:c r="H214" s="50" t="n">
        <x:v>0.870238721370697</x:v>
      </x:c>
      <x:c r="I214" s="48" t="n">
        <x:v>1</x:v>
      </x:c>
    </x:row>
    <x:row r="215">
      <x:c r="A215" s="48" t="str">
        <x:v>CT0446_A1_001</x:v>
      </x:c>
      <x:c r="B215" s="48" t="str">
        <x:v>CT0446</x:v>
      </x:c>
      <x:c r="C215" s="48" t="str">
        <x:v>Infliximab</x:v>
      </x:c>
      <x:c r="D215" s="73" t="n">
        <x:v>0.45</x:v>
      </x:c>
      <x:c r="E215" s="73" t="n">
        <x:v>3.234464168548584</x:v>
      </x:c>
      <x:c r="F215" s="73" t="n">
        <x:v>3.234464168548584</x:v>
      </x:c>
      <x:c r="G215" s="48" t="n">
        <x:v>0</x:v>
      </x:c>
      <x:c r="H215" s="50" t="n">
        <x:v>0.6103824973106384</x:v>
      </x:c>
      <x:c r="I215" s="48" t="n">
        <x:v>1</x:v>
      </x:c>
    </x:row>
    <x:row r="216">
      <x:c r="A216" s="48" t="str">
        <x:v>CT0446_A2_001</x:v>
      </x:c>
      <x:c r="B216" s="48" t="str">
        <x:v>CT0446</x:v>
      </x:c>
      <x:c r="C216" s="48" t="str">
        <x:v>Infliximab</x:v>
      </x:c>
      <x:c r="D216" s="73" t="n">
        <x:v>0</x:v>
      </x:c>
      <x:c r="E216" s="73" t="n">
        <x:v>3.8589582443237305</x:v>
      </x:c>
      <x:c r="F216" s="73" t="n">
        <x:v>3.8589582443237305</x:v>
      </x:c>
      <x:c r="G216" s="48" t="n">
        <x:v>0</x:v>
      </x:c>
      <x:c r="H216" s="50" t="n">
        <x:v>0.466087281703949</x:v>
      </x:c>
      <x:c r="I216" s="48" t="n">
        <x:v>0</x:v>
      </x:c>
    </x:row>
    <x:row r="217">
      <x:c r="A217" s="48" t="str">
        <x:v>CT0447_A1_003</x:v>
      </x:c>
      <x:c r="B217" s="48" t="str">
        <x:v>CT0447</x:v>
      </x:c>
      <x:c r="C217" s="48" t="str">
        <x:v>Ranibizumab</x:v>
      </x:c>
      <x:c r="D217" s="73" t="n">
        <x:v>0.9</x:v>
      </x:c>
      <x:c r="E217" s="73" t="n">
        <x:v>6.104675769805908</x:v>
      </x:c>
      <x:c r="F217" s="73" t="n">
        <x:v>6.104675769805908</x:v>
      </x:c>
      <x:c r="G217" s="48" t="n">
        <x:v>0</x:v>
      </x:c>
      <x:c r="H217" s="50" t="n">
        <x:v>0.5441743731498718</x:v>
      </x:c>
      <x:c r="I217" s="48" t="n">
        <x:v>1</x:v>
      </x:c>
    </x:row>
    <x:row r="218">
      <x:c r="A218" s="48" t="str">
        <x:v>CT0447_A2_003</x:v>
      </x:c>
      <x:c r="B218" s="48" t="str">
        <x:v>CT0447</x:v>
      </x:c>
      <x:c r="C218" s="48" t="str">
        <x:v>Ranibizumab</x:v>
      </x:c>
      <x:c r="D218" s="73" t="n">
        <x:v>0.9</x:v>
      </x:c>
      <x:c r="E218" s="73" t="n">
        <x:v>7.118775844573975</x:v>
      </x:c>
      <x:c r="F218" s="73" t="n">
        <x:v>7.118775844573975</x:v>
      </x:c>
      <x:c r="G218" s="48" t="n">
        <x:v>0</x:v>
      </x:c>
      <x:c r="H218" s="50" t="n">
        <x:v>0.3592641353607178</x:v>
      </x:c>
      <x:c r="I218" s="48" t="n">
        <x:v>0</x:v>
      </x:c>
    </x:row>
    <x:row r="219">
      <x:c r="A219" s="48" t="str">
        <x:v>CT0447_A1_004</x:v>
      </x:c>
      <x:c r="B219" s="48" t="str">
        <x:v>CT0447</x:v>
      </x:c>
      <x:c r="C219" s="48" t="str">
        <x:v>Ranibizumab</x:v>
      </x:c>
      <x:c r="D219" s="73" t="n">
        <x:v>0.4</x:v>
      </x:c>
      <x:c r="E219" s="73" t="n">
        <x:v>6.5873613357543945</x:v>
      </x:c>
      <x:c r="F219" s="73" t="n">
        <x:v>6.5873613357543945</x:v>
      </x:c>
      <x:c r="G219" s="48" t="n">
        <x:v>0</x:v>
      </x:c>
      <x:c r="H219" s="50" t="n">
        <x:v>0.5782814621925354</x:v>
      </x:c>
      <x:c r="I219" s="48" t="n">
        <x:v>1</x:v>
      </x:c>
    </x:row>
    <x:row r="220">
      <x:c r="A220" s="48" t="str">
        <x:v>CT0447_A2_004</x:v>
      </x:c>
      <x:c r="B220" s="48" t="str">
        <x:v>CT0447</x:v>
      </x:c>
      <x:c r="C220" s="48" t="str">
        <x:v>Ranibizumab</x:v>
      </x:c>
      <x:c r="D220" s="73" t="n">
        <x:v>0.9</x:v>
      </x:c>
      <x:c r="E220" s="73" t="n">
        <x:v>7.901273727416992</x:v>
      </x:c>
      <x:c r="F220" s="73" t="n">
        <x:v>7.901273727416992</x:v>
      </x:c>
      <x:c r="G220" s="48" t="n">
        <x:v>0</x:v>
      </x:c>
      <x:c r="H220" s="50" t="n">
        <x:v>0.3617016077041626</x:v>
      </x:c>
      <x:c r="I220" s="48" t="n">
        <x:v>0</x:v>
      </x:c>
    </x:row>
    <x:row r="221">
      <x:c r="A221" s="48" t="str">
        <x:v>CT0447_A1_005</x:v>
      </x:c>
      <x:c r="B221" s="48" t="str">
        <x:v>CT0447</x:v>
      </x:c>
      <x:c r="C221" s="48" t="str">
        <x:v>Ranibizumab</x:v>
      </x:c>
      <x:c r="D221" s="73" t="n">
        <x:v>2.7</x:v>
      </x:c>
      <x:c r="E221" s="73" t="n">
        <x:v>7.933773040771484</x:v>
      </x:c>
      <x:c r="F221" s="73" t="n">
        <x:v>7.933773040771484</x:v>
      </x:c>
      <x:c r="G221" s="48" t="n">
        <x:v>0</x:v>
      </x:c>
      <x:c r="H221" s="50" t="n">
        <x:v>0.613772988319397</x:v>
      </x:c>
      <x:c r="I221" s="48" t="n">
        <x:v>1</x:v>
      </x:c>
    </x:row>
    <x:row r="222">
      <x:c r="A222" s="48" t="str">
        <x:v>CT0447_A2_005</x:v>
      </x:c>
      <x:c r="B222" s="48" t="str">
        <x:v>CT0447</x:v>
      </x:c>
      <x:c r="C222" s="48" t="str">
        <x:v>Ranibizumab</x:v>
      </x:c>
      <x:c r="D222" s="73" t="n">
        <x:v>2.7</x:v>
      </x:c>
      <x:c r="E222" s="73" t="n">
        <x:v>9.372673034667969</x:v>
      </x:c>
      <x:c r="F222" s="73" t="n">
        <x:v>9.372673034667969</x:v>
      </x:c>
      <x:c r="G222" s="48" t="n">
        <x:v>0</x:v>
      </x:c>
      <x:c r="H222" s="50" t="n">
        <x:v>0.3830360174179077</x:v>
      </x:c>
      <x:c r="I222" s="48" t="n">
        <x:v>0</x:v>
      </x:c>
    </x:row>
    <x:row r="223">
      <x:c r="A223" s="48" t="str">
        <x:v>CT0447_A1_006</x:v>
      </x:c>
      <x:c r="B223" s="48" t="str">
        <x:v>CT0447</x:v>
      </x:c>
      <x:c r="C223" s="48" t="str">
        <x:v>Ranibizumab</x:v>
      </x:c>
      <x:c r="D223" s="73" t="n">
        <x:v>3.9</x:v>
      </x:c>
      <x:c r="E223" s="73" t="n">
        <x:v>9.413981437683104</x:v>
      </x:c>
      <x:c r="F223" s="73" t="n">
        <x:v>9.413981437683104</x:v>
      </x:c>
      <x:c r="G223" s="48" t="n">
        <x:v>0</x:v>
      </x:c>
      <x:c r="H223" s="50" t="n">
        <x:v>0.6452813148498535</x:v>
      </x:c>
      <x:c r="I223" s="48" t="n">
        <x:v>1</x:v>
      </x:c>
    </x:row>
    <x:row r="224">
      <x:c r="A224" s="48" t="str">
        <x:v>CT0447_A2_006</x:v>
      </x:c>
      <x:c r="B224" s="48" t="str">
        <x:v>CT0447</x:v>
      </x:c>
      <x:c r="C224" s="48" t="str">
        <x:v>Ranibizumab</x:v>
      </x:c>
      <x:c r="D224" s="73" t="n">
        <x:v>5.3</x:v>
      </x:c>
      <x:c r="E224" s="73" t="n">
        <x:v>9.978225708007812</x:v>
      </x:c>
      <x:c r="F224" s="73" t="n">
        <x:v>9.978225708007812</x:v>
      </x:c>
      <x:c r="G224" s="48" t="n">
        <x:v>0</x:v>
      </x:c>
      <x:c r="H224" s="50" t="n">
        <x:v>0.394586831331253</x:v>
      </x:c>
      <x:c r="I224" s="48" t="n">
        <x:v>0</x:v>
      </x:c>
    </x:row>
    <x:row r="225">
      <x:c r="A225" s="48" t="str">
        <x:v>CT0449_A2_001</x:v>
      </x:c>
      <x:c r="B225" s="48" t="str">
        <x:v>CT0449</x:v>
      </x:c>
      <x:c r="C225" s="48" t="str">
        <x:v>Galcanezumab</x:v>
      </x:c>
      <x:c r="D225" s="73" t="n">
        <x:v>3.47</x:v>
      </x:c>
      <x:c r="E225" s="73" t="n">
        <x:v>6.508571624755859</x:v>
      </x:c>
      <x:c r="F225" s="73" t="n">
        <x:v>6.508571624755859</x:v>
      </x:c>
      <x:c r="G225" s="48" t="n">
        <x:v>0</x:v>
      </x:c>
      <x:c r="H225" s="50" t="n">
        <x:v>0.1213492602109909</x:v>
      </x:c>
      <x:c r="I225" s="48" t="n">
        <x:v>0</x:v>
      </x:c>
    </x:row>
    <x:row r="226">
      <x:c r="A226" s="48" t="str">
        <x:v>CT0449_A3_001</x:v>
      </x:c>
      <x:c r="B226" s="48" t="str">
        <x:v>CT0449</x:v>
      </x:c>
      <x:c r="C226" s="48" t="str">
        <x:v>Galcanezumab</x:v>
      </x:c>
      <x:c r="D226" s="73" t="n">
        <x:v>5.16</x:v>
      </x:c>
      <x:c r="E226" s="73" t="n">
        <x:v>6.573931694030762</x:v>
      </x:c>
      <x:c r="F226" s="73" t="n">
        <x:v>6.573931694030762</x:v>
      </x:c>
      <x:c r="G226" s="48" t="n">
        <x:v>0</x:v>
      </x:c>
      <x:c r="H226" s="50" t="n">
        <x:v>0.1009783744812011</x:v>
      </x:c>
      <x:c r="I226" s="48" t="n">
        <x:v>0</x:v>
      </x:c>
    </x:row>
    <x:row r="227">
      <x:c r="A227" s="48" t="str">
        <x:v>CT0447_A1_002</x:v>
      </x:c>
      <x:c r="B227" s="48" t="str">
        <x:v>CT0447</x:v>
      </x:c>
      <x:c r="C227" s="48" t="str">
        <x:v>Ranibizumab</x:v>
      </x:c>
      <x:c r="D227" s="73" t="n">
        <x:v>0</x:v>
      </x:c>
      <x:c r="E227" s="73" t="n">
        <x:v>4.97605037689209</x:v>
      </x:c>
      <x:c r="F227" s="73" t="n">
        <x:v>4.97605037689209</x:v>
      </x:c>
      <x:c r="G227" s="48" t="n">
        <x:v>0</x:v>
      </x:c>
      <x:c r="H227" s="50" t="n">
        <x:v>0.2707730829715729</x:v>
      </x:c>
      <x:c r="I227" s="48" t="n">
        <x:v>0</x:v>
      </x:c>
    </x:row>
    <x:row r="228">
      <x:c r="A228" s="48" t="str">
        <x:v>CT0447_A2_002</x:v>
      </x:c>
      <x:c r="B228" s="48" t="str">
        <x:v>CT0447</x:v>
      </x:c>
      <x:c r="C228" s="48" t="str">
        <x:v>Ranibizumab</x:v>
      </x:c>
      <x:c r="D228" s="73" t="n">
        <x:v>0</x:v>
      </x:c>
      <x:c r="E228" s="73" t="n">
        <x:v>4.891958236694336</x:v>
      </x:c>
      <x:c r="F228" s="73" t="n">
        <x:v>4.891958236694336</x:v>
      </x:c>
      <x:c r="G228" s="48" t="n">
        <x:v>0</x:v>
      </x:c>
      <x:c r="H228" s="50" t="n">
        <x:v>0.3305642008781433</x:v>
      </x:c>
      <x:c r="I228" s="48" t="n">
        <x:v>0</x:v>
      </x:c>
    </x:row>
    <x:row r="229">
      <x:c r="A229" s="48" t="str">
        <x:v>CT0454_A1_005</x:v>
      </x:c>
      <x:c r="B229" s="48" t="str">
        <x:v>CT0454</x:v>
      </x:c>
      <x:c r="C229" s="48" t="str">
        <x:v>Obinutuzumab</x:v>
      </x:c>
      <x:c r="D229" s="73" t="n">
        <x:v>0</x:v>
      </x:c>
      <x:c r="E229" s="73" t="n">
        <x:v>1.7511699199676514</x:v>
      </x:c>
      <x:c r="F229" s="73" t="n">
        <x:v>1.7511699199676514</x:v>
      </x:c>
      <x:c r="G229" s="48" t="n">
        <x:v>0</x:v>
      </x:c>
      <x:c r="H229" s="50" t="n">
        <x:v>0.0465610325336456</x:v>
      </x:c>
      <x:c r="I229" s="48" t="n">
        <x:v>0</x:v>
      </x:c>
    </x:row>
    <x:row r="230">
      <x:c r="A230" s="48" t="str">
        <x:v>CT0454_A1_007</x:v>
      </x:c>
      <x:c r="B230" s="48" t="str">
        <x:v>CT0454</x:v>
      </x:c>
      <x:c r="C230" s="48" t="str">
        <x:v>Atezolizumab</x:v>
      </x:c>
      <x:c r="D230" s="73" t="n">
        <x:v>0</x:v>
      </x:c>
      <x:c r="E230" s="73" t="n">
        <x:v>2.063703775405884</x:v>
      </x:c>
      <x:c r="F230" s="73" t="n">
        <x:v>2.063703775405884</x:v>
      </x:c>
      <x:c r="G230" s="48" t="n">
        <x:v>0</x:v>
      </x:c>
      <x:c r="H230" s="50" t="n">
        <x:v>0.113029807806015</x:v>
      </x:c>
      <x:c r="I230" s="48" t="n">
        <x:v>0</x:v>
      </x:c>
    </x:row>
    <x:row r="231">
      <x:c r="A231" s="48" t="str">
        <x:v>CT0454_A1_010</x:v>
      </x:c>
      <x:c r="B231" s="48" t="str">
        <x:v>CT0454</x:v>
      </x:c>
      <x:c r="C231" s="48" t="str">
        <x:v>Atezolizumab</x:v>
      </x:c>
      <x:c r="D231" s="73" t="n">
        <x:v>0</x:v>
      </x:c>
      <x:c r="E231" s="73" t="n">
        <x:v>4.287436008453369</x:v>
      </x:c>
      <x:c r="F231" s="73" t="n">
        <x:v>4.287436008453369</x:v>
      </x:c>
      <x:c r="G231" s="48" t="n">
        <x:v>0</x:v>
      </x:c>
      <x:c r="H231" s="50" t="n">
        <x:v>0.1521434485912323</x:v>
      </x:c>
      <x:c r="I231" s="48" t="n">
        <x:v>0</x:v>
      </x:c>
    </x:row>
    <x:row r="232">
      <x:c r="A232" s="48" t="str">
        <x:v>CT0454_A1_011</x:v>
      </x:c>
      <x:c r="B232" s="48" t="str">
        <x:v>CT0454</x:v>
      </x:c>
      <x:c r="C232" s="48" t="str">
        <x:v>Atezolizumab</x:v>
      </x:c>
      <x:c r="D232" s="73" t="n">
        <x:v>0</x:v>
      </x:c>
      <x:c r="E232" s="73" t="n">
        <x:v>6.297576904296875</x:v>
      </x:c>
      <x:c r="F232" s="73" t="n">
        <x:v>6.297576904296875</x:v>
      </x:c>
      <x:c r="G232" s="48" t="n">
        <x:v>0</x:v>
      </x:c>
      <x:c r="H232" s="50" t="n">
        <x:v>0.1851573288440704</x:v>
      </x:c>
      <x:c r="I232" s="48" t="n">
        <x:v>0</x:v>
      </x:c>
    </x:row>
    <x:row r="233">
      <x:c r="A233" s="48" t="str">
        <x:v>CT0454_A1_012</x:v>
      </x:c>
      <x:c r="B233" s="48" t="str">
        <x:v>CT0454</x:v>
      </x:c>
      <x:c r="C233" s="48" t="str">
        <x:v>Atezolizumab</x:v>
      </x:c>
      <x:c r="D233" s="73" t="n">
        <x:v>0</x:v>
      </x:c>
      <x:c r="E233" s="73" t="n">
        <x:v>4.825015068054199</x:v>
      </x:c>
      <x:c r="F233" s="73" t="n">
        <x:v>4.825015068054199</x:v>
      </x:c>
      <x:c r="G233" s="48" t="n">
        <x:v>0</x:v>
      </x:c>
      <x:c r="H233" s="50" t="n">
        <x:v>0.1557060927152633</x:v>
      </x:c>
      <x:c r="I233" s="48" t="n">
        <x:v>0</x:v>
      </x:c>
    </x:row>
    <x:row r="234">
      <x:c r="A234" s="48" t="str">
        <x:v>CT0454_A1_013</x:v>
      </x:c>
      <x:c r="B234" s="48" t="str">
        <x:v>CT0454</x:v>
      </x:c>
      <x:c r="C234" s="48" t="str">
        <x:v>Atezolizumab</x:v>
      </x:c>
      <x:c r="D234" s="73" t="n">
        <x:v>0</x:v>
      </x:c>
      <x:c r="E234" s="73" t="n">
        <x:v>3.367380142211914</x:v>
      </x:c>
      <x:c r="F234" s="73" t="n">
        <x:v>3.367380142211914</x:v>
      </x:c>
      <x:c r="G234" s="48" t="n">
        <x:v>0</x:v>
      </x:c>
      <x:c r="H234" s="50" t="n">
        <x:v>0.1330683678388595</x:v>
      </x:c>
      <x:c r="I234" s="48" t="n">
        <x:v>0</x:v>
      </x:c>
    </x:row>
    <x:row r="235">
      <x:c r="A235" s="48" t="str">
        <x:v>CT0454_A1_014</x:v>
      </x:c>
      <x:c r="B235" s="48" t="str">
        <x:v>CT0454</x:v>
      </x:c>
      <x:c r="C235" s="48" t="str">
        <x:v>Atezolizumab</x:v>
      </x:c>
      <x:c r="D235" s="73" t="n">
        <x:v>0</x:v>
      </x:c>
      <x:c r="E235" s="73" t="n">
        <x:v>6.734700202941895</x:v>
      </x:c>
      <x:c r="F235" s="73" t="n">
        <x:v>6.734700202941895</x:v>
      </x:c>
      <x:c r="G235" s="48" t="n">
        <x:v>0</x:v>
      </x:c>
      <x:c r="H235" s="50" t="n">
        <x:v>0.1846403330564499</x:v>
      </x:c>
      <x:c r="I235" s="48" t="n">
        <x:v>0</x:v>
      </x:c>
    </x:row>
    <x:row r="236">
      <x:c r="A236" s="48" t="str">
        <x:v>CT0454_A1_017</x:v>
      </x:c>
      <x:c r="B236" s="48" t="str">
        <x:v>CT0454</x:v>
      </x:c>
      <x:c r="C236" s="48" t="str">
        <x:v>Atezolizumab</x:v>
      </x:c>
      <x:c r="D236" s="73" t="n">
        <x:v>0</x:v>
      </x:c>
      <x:c r="E236" s="73" t="n">
        <x:v>5.715210437774658</x:v>
      </x:c>
      <x:c r="F236" s="73" t="n">
        <x:v>5.715210437774658</x:v>
      </x:c>
      <x:c r="G236" s="48" t="n">
        <x:v>0</x:v>
      </x:c>
      <x:c r="H236" s="50" t="n">
        <x:v>0.1704594939947128</x:v>
      </x:c>
      <x:c r="I236" s="48" t="n">
        <x:v>0</x:v>
      </x:c>
    </x:row>
    <x:row r="237">
      <x:c r="A237" s="48" t="str">
        <x:v>CT0454_A2_005</x:v>
      </x:c>
      <x:c r="B237" s="48" t="str">
        <x:v>CT0454</x:v>
      </x:c>
      <x:c r="C237" s="48" t="str">
        <x:v>Obinutuzumab</x:v>
      </x:c>
      <x:c r="D237" s="73" t="n">
        <x:v>0</x:v>
      </x:c>
      <x:c r="E237" s="73" t="n">
        <x:v>3.153883695602417</x:v>
      </x:c>
      <x:c r="F237" s="73" t="n">
        <x:v>3.153883695602417</x:v>
      </x:c>
      <x:c r="G237" s="48" t="n">
        <x:v>0</x:v>
      </x:c>
      <x:c r="H237" s="50" t="n">
        <x:v>0.061704859137535</x:v>
      </x:c>
      <x:c r="I237" s="48" t="n">
        <x:v>0</x:v>
      </x:c>
    </x:row>
    <x:row r="238">
      <x:c r="A238" s="48" t="str">
        <x:v>CT0454_A1_002</x:v>
      </x:c>
      <x:c r="B238" s="48" t="str">
        <x:v>CT0454</x:v>
      </x:c>
      <x:c r="C238" s="48" t="str">
        <x:v>Obinutuzumab</x:v>
      </x:c>
      <x:c r="D238" s="73" t="n">
        <x:v>0</x:v>
      </x:c>
      <x:c r="E238" s="73" t="n">
        <x:v>1.7631504535675049</x:v>
      </x:c>
      <x:c r="F238" s="73" t="n">
        <x:v>1.7631504535675049</x:v>
      </x:c>
      <x:c r="G238" s="48" t="n">
        <x:v>0</x:v>
      </x:c>
      <x:c r="H238" s="50" t="n">
        <x:v>0.0505889169871807</x:v>
      </x:c>
      <x:c r="I238" s="48" t="n">
        <x:v>0</x:v>
      </x:c>
    </x:row>
    <x:row r="239">
      <x:c r="A239" s="48" t="str">
        <x:v>CT0454_A2_007</x:v>
      </x:c>
      <x:c r="B239" s="48" t="str">
        <x:v>CT0454</x:v>
      </x:c>
      <x:c r="C239" s="48" t="str">
        <x:v>Obinutuzumab</x:v>
      </x:c>
      <x:c r="D239" s="73" t="n">
        <x:v>0</x:v>
      </x:c>
      <x:c r="E239" s="73" t="n">
        <x:v>1.4974673986434937</x:v>
      </x:c>
      <x:c r="F239" s="73" t="n">
        <x:v>1.4974673986434937</x:v>
      </x:c>
      <x:c r="G239" s="48" t="n">
        <x:v>0</x:v>
      </x:c>
      <x:c r="H239" s="50" t="n">
        <x:v>0.0491919070482254</x:v>
      </x:c>
      <x:c r="I239" s="48" t="n">
        <x:v>0</x:v>
      </x:c>
    </x:row>
    <x:row r="240">
      <x:c r="A240" s="48" t="str">
        <x:v>CT0454_A2_010</x:v>
      </x:c>
      <x:c r="B240" s="48" t="str">
        <x:v>CT0454</x:v>
      </x:c>
      <x:c r="C240" s="48" t="str">
        <x:v>Obinutuzumab</x:v>
      </x:c>
      <x:c r="D240" s="73" t="n">
        <x:v>0</x:v>
      </x:c>
      <x:c r="E240" s="73" t="n">
        <x:v>1.7593343257904053</x:v>
      </x:c>
      <x:c r="F240" s="73" t="n">
        <x:v>1.7593343257904053</x:v>
      </x:c>
      <x:c r="G240" s="48" t="n">
        <x:v>0</x:v>
      </x:c>
      <x:c r="H240" s="50" t="n">
        <x:v>0.050509825348854</x:v>
      </x:c>
      <x:c r="I240" s="48" t="n">
        <x:v>0</x:v>
      </x:c>
    </x:row>
    <x:row r="241">
      <x:c r="A241" s="48" t="str">
        <x:v>CT0454_A2_011</x:v>
      </x:c>
      <x:c r="B241" s="48" t="str">
        <x:v>CT0454</x:v>
      </x:c>
      <x:c r="C241" s="48" t="str">
        <x:v>Obinutuzumab</x:v>
      </x:c>
      <x:c r="D241" s="73" t="n">
        <x:v>0</x:v>
      </x:c>
      <x:c r="E241" s="73" t="n">
        <x:v>2.383542060852051</x:v>
      </x:c>
      <x:c r="F241" s="73" t="n">
        <x:v>2.383542060852051</x:v>
      </x:c>
      <x:c r="G241" s="48" t="n">
        <x:v>0</x:v>
      </x:c>
      <x:c r="H241" s="50" t="n">
        <x:v>0.051673412322998</x:v>
      </x:c>
      <x:c r="I241" s="48" t="n">
        <x:v>0</x:v>
      </x:c>
    </x:row>
    <x:row r="242">
      <x:c r="A242" s="48" t="str">
        <x:v>CT0454_A2_012</x:v>
      </x:c>
      <x:c r="B242" s="48" t="str">
        <x:v>CT0454</x:v>
      </x:c>
      <x:c r="C242" s="48" t="str">
        <x:v>Obinutuzumab</x:v>
      </x:c>
      <x:c r="D242" s="73" t="n">
        <x:v>0</x:v>
      </x:c>
      <x:c r="E242" s="73" t="n">
        <x:v>2.7903971672058105</x:v>
      </x:c>
      <x:c r="F242" s="73" t="n">
        <x:v>2.7903971672058105</x:v>
      </x:c>
      <x:c r="G242" s="48" t="n">
        <x:v>0</x:v>
      </x:c>
      <x:c r="H242" s="50" t="n">
        <x:v>0.0542679987847805</x:v>
      </x:c>
      <x:c r="I242" s="48" t="n">
        <x:v>0</x:v>
      </x:c>
    </x:row>
    <x:row r="243">
      <x:c r="A243" s="48" t="str">
        <x:v>CT0454_A2_013</x:v>
      </x:c>
      <x:c r="B243" s="48" t="str">
        <x:v>CT0454</x:v>
      </x:c>
      <x:c r="C243" s="48" t="str">
        <x:v>Obinutuzumab</x:v>
      </x:c>
      <x:c r="D243" s="73" t="n">
        <x:v>0</x:v>
      </x:c>
      <x:c r="E243" s="73" t="n">
        <x:v>3.074131965637207</x:v>
      </x:c>
      <x:c r="F243" s="73" t="n">
        <x:v>3.074131965637207</x:v>
      </x:c>
      <x:c r="G243" s="48" t="n">
        <x:v>0</x:v>
      </x:c>
      <x:c r="H243" s="50" t="n">
        <x:v>0.0551681593060493</x:v>
      </x:c>
      <x:c r="I243" s="48" t="n">
        <x:v>0</x:v>
      </x:c>
    </x:row>
    <x:row r="244">
      <x:c r="A244" s="48" t="str">
        <x:v>CT0454_A2_014</x:v>
      </x:c>
      <x:c r="B244" s="48" t="str">
        <x:v>CT0454</x:v>
      </x:c>
      <x:c r="C244" s="48" t="str">
        <x:v>Obinutuzumab</x:v>
      </x:c>
      <x:c r="D244" s="73" t="n">
        <x:v>0</x:v>
      </x:c>
      <x:c r="E244" s="73" t="n">
        <x:v>3.381835699081421</x:v>
      </x:c>
      <x:c r="F244" s="73" t="n">
        <x:v>3.381835699081421</x:v>
      </x:c>
      <x:c r="G244" s="48" t="n">
        <x:v>0</x:v>
      </x:c>
      <x:c r="H244" s="50" t="n">
        <x:v>0.058450162410736</x:v>
      </x:c>
      <x:c r="I244" s="48" t="n">
        <x:v>0</x:v>
      </x:c>
    </x:row>
    <x:row r="245">
      <x:c r="A245" s="48" t="str">
        <x:v>CT0454_A2_016</x:v>
      </x:c>
      <x:c r="B245" s="48" t="str">
        <x:v>CT0454</x:v>
      </x:c>
      <x:c r="C245" s="48" t="str">
        <x:v>Obinutuzumab</x:v>
      </x:c>
      <x:c r="D245" s="73" t="n">
        <x:v>0</x:v>
      </x:c>
      <x:c r="E245" s="73" t="n">
        <x:v>2.5155744552612305</x:v>
      </x:c>
      <x:c r="F245" s="73" t="n">
        <x:v>2.5155744552612305</x:v>
      </x:c>
      <x:c r="G245" s="48" t="n">
        <x:v>0</x:v>
      </x:c>
      <x:c r="H245" s="50" t="n">
        <x:v>0.0542620122432708</x:v>
      </x:c>
      <x:c r="I245" s="48" t="n">
        <x:v>0</x:v>
      </x:c>
    </x:row>
    <x:row r="246">
      <x:c r="A246" s="48" t="str">
        <x:v>CT0454_A1_009</x:v>
      </x:c>
      <x:c r="B246" s="48" t="str">
        <x:v>CT0454</x:v>
      </x:c>
      <x:c r="C246" s="48" t="str">
        <x:v>Atezolizumab</x:v>
      </x:c>
      <x:c r="D246" s="73" t="n">
        <x:v>0</x:v>
      </x:c>
      <x:c r="E246" s="73" t="n">
        <x:v>2.9701669216156006</x:v>
      </x:c>
      <x:c r="F246" s="73" t="n">
        <x:v>2.9701669216156006</x:v>
      </x:c>
      <x:c r="G246" s="48" t="n">
        <x:v>0</x:v>
      </x:c>
      <x:c r="H246" s="50" t="n">
        <x:v>0.1379123926162719</x:v>
      </x:c>
      <x:c r="I246" s="48" t="n">
        <x:v>0</x:v>
      </x:c>
    </x:row>
    <x:row r="247">
      <x:c r="A247" s="48" t="str">
        <x:v>CT0394_A3_001</x:v>
      </x:c>
      <x:c r="B247" s="48" t="str">
        <x:v>CT0394</x:v>
      </x:c>
      <x:c r="C247" s="48" t="str">
        <x:v>Adalimumab</x:v>
      </x:c>
      <x:c r="D247" s="73" t="n">
        <x:v>63.9</x:v>
      </x:c>
      <x:c r="E247" s="73" t="n">
        <x:v>32.11079025268555</x:v>
      </x:c>
      <x:c r="F247" s="73" t="n">
        <x:v>32.11079025268555</x:v>
      </x:c>
      <x:c r="G247" s="48" t="n">
        <x:v>1</x:v>
      </x:c>
      <x:c r="H247" s="50" t="n">
        <x:v>0.6804893016815186</x:v>
      </x:c>
      <x:c r="I247" s="48" t="n">
        <x:v>1</x:v>
      </x:c>
    </x:row>
    <x:row r="248">
      <x:c r="A248" s="48" t="str">
        <x:v>CT0394_A3_002</x:v>
      </x:c>
      <x:c r="B248" s="48" t="str">
        <x:v>CT0394</x:v>
      </x:c>
      <x:c r="C248" s="48" t="str">
        <x:v>Adalimumab</x:v>
      </x:c>
      <x:c r="D248" s="73" t="n">
        <x:v>58.3</x:v>
      </x:c>
      <x:c r="E248" s="73" t="n">
        <x:v>31.782506942749023</x:v>
      </x:c>
      <x:c r="F248" s="73" t="n">
        <x:v>31.782506942749023</x:v>
      </x:c>
      <x:c r="G248" s="48" t="n">
        <x:v>1</x:v>
      </x:c>
      <x:c r="H248" s="50" t="n">
        <x:v>0.6858574748039246</x:v>
      </x:c>
      <x:c r="I248" s="48" t="n">
        <x:v>1</x:v>
      </x:c>
    </x:row>
    <x:row r="249">
      <x:c r="A249" s="48" t="str">
        <x:v>CT0394_A3_003</x:v>
      </x:c>
      <x:c r="B249" s="48" t="str">
        <x:v>CT0394</x:v>
      </x:c>
      <x:c r="C249" s="48" t="str">
        <x:v>Adalimumab</x:v>
      </x:c>
      <x:c r="D249" s="73" t="n">
        <x:v>58</x:v>
      </x:c>
      <x:c r="E249" s="73" t="n">
        <x:v>31.50553131103516</x:v>
      </x:c>
      <x:c r="F249" s="73" t="n">
        <x:v>31.50553131103516</x:v>
      </x:c>
      <x:c r="G249" s="48" t="n">
        <x:v>1</x:v>
      </x:c>
      <x:c r="H249" s="50" t="n">
        <x:v>0.6776947379112244</x:v>
      </x:c>
      <x:c r="I249" s="48" t="n">
        <x:v>1</x:v>
      </x:c>
    </x:row>
    <x:row r="250">
      <x:c r="A250" s="48" t="str">
        <x:v>CT0394_A5_001</x:v>
      </x:c>
      <x:c r="B250" s="48" t="str">
        <x:v>CT0394</x:v>
      </x:c>
      <x:c r="C250" s="48" t="str">
        <x:v>Adalimumab</x:v>
      </x:c>
      <x:c r="D250" s="73" t="n">
        <x:v>62</x:v>
      </x:c>
      <x:c r="E250" s="73" t="n">
        <x:v>49.804107666015625</x:v>
      </x:c>
      <x:c r="F250" s="73" t="n">
        <x:v>49.804107666015625</x:v>
      </x:c>
      <x:c r="G250" s="48" t="n">
        <x:v>1</x:v>
      </x:c>
      <x:c r="H250" s="50" t="n">
        <x:v>0.84405916929245</x:v>
      </x:c>
      <x:c r="I250" s="48" t="n">
        <x:v>1</x:v>
      </x:c>
    </x:row>
    <x:row r="251">
      <x:c r="A251" s="48" t="str">
        <x:v>CT0394_A5_002</x:v>
      </x:c>
      <x:c r="B251" s="48" t="str">
        <x:v>CT0394</x:v>
      </x:c>
      <x:c r="C251" s="48" t="str">
        <x:v>Adalimumab</x:v>
      </x:c>
      <x:c r="D251" s="73" t="n">
        <x:v>52.4</x:v>
      </x:c>
      <x:c r="E251" s="73" t="n">
        <x:v>49.72584533691406</x:v>
      </x:c>
      <x:c r="F251" s="73" t="n">
        <x:v>49.72584533691406</x:v>
      </x:c>
      <x:c r="G251" s="48" t="n">
        <x:v>1</x:v>
      </x:c>
      <x:c r="H251" s="50" t="n">
        <x:v>0.8383437991142273</x:v>
      </x:c>
      <x:c r="I251" s="48" t="n">
        <x:v>1</x:v>
      </x:c>
    </x:row>
    <x:row r="252">
      <x:c r="A252" s="48" t="str">
        <x:v>CT0394_A5_003</x:v>
      </x:c>
      <x:c r="B252" s="48" t="str">
        <x:v>CT0394</x:v>
      </x:c>
      <x:c r="C252" s="48" t="str">
        <x:v>Adalimumab</x:v>
      </x:c>
      <x:c r="D252" s="73" t="n">
        <x:v>49</x:v>
      </x:c>
      <x:c r="E252" s="73" t="n">
        <x:v>49.51108551025391</x:v>
      </x:c>
      <x:c r="F252" s="73" t="n">
        <x:v>49.51108551025391</x:v>
      </x:c>
      <x:c r="G252" s="48" t="n">
        <x:v>1</x:v>
      </x:c>
      <x:c r="H252" s="50" t="n">
        <x:v>0.8392307758331299</x:v>
      </x:c>
      <x:c r="I252" s="48" t="n">
        <x:v>1</x:v>
      </x:c>
    </x:row>
    <x:row r="253">
      <x:c r="A253" s="48" t="str">
        <x:v>CT0394_A7_001</x:v>
      </x:c>
      <x:c r="B253" s="48" t="str">
        <x:v>CT0394</x:v>
      </x:c>
      <x:c r="C253" s="48" t="str">
        <x:v>Adalimumab</x:v>
      </x:c>
      <x:c r="D253" s="73" t="n">
        <x:v>58</x:v>
      </x:c>
      <x:c r="E253" s="73" t="n">
        <x:v>37.07769012451172</x:v>
      </x:c>
      <x:c r="F253" s="73" t="n">
        <x:v>37.07769012451172</x:v>
      </x:c>
      <x:c r="G253" s="48" t="n">
        <x:v>1</x:v>
      </x:c>
      <x:c r="H253" s="50" t="n">
        <x:v>0.7181348204612732</x:v>
      </x:c>
      <x:c r="I253" s="48" t="n">
        <x:v>1</x:v>
      </x:c>
    </x:row>
    <x:row r="254">
      <x:c r="A254" s="48" t="str">
        <x:v>CT0394_A7_002</x:v>
      </x:c>
      <x:c r="B254" s="48" t="str">
        <x:v>CT0394</x:v>
      </x:c>
      <x:c r="C254" s="48" t="str">
        <x:v>Adalimumab</x:v>
      </x:c>
      <x:c r="D254" s="73" t="n">
        <x:v>50</x:v>
      </x:c>
      <x:c r="E254" s="73" t="n">
        <x:v>37.509422302246094</x:v>
      </x:c>
      <x:c r="F254" s="73" t="n">
        <x:v>37.509422302246094</x:v>
      </x:c>
      <x:c r="G254" s="48" t="n">
        <x:v>1</x:v>
      </x:c>
      <x:c r="H254" s="50" t="n">
        <x:v>0.7160125970840454</x:v>
      </x:c>
      <x:c r="I254" s="48" t="n">
        <x:v>1</x:v>
      </x:c>
    </x:row>
    <x:row r="255">
      <x:c r="A255" s="48" t="str">
        <x:v>CT0394_A7_003</x:v>
      </x:c>
      <x:c r="B255" s="48" t="str">
        <x:v>CT0394</x:v>
      </x:c>
      <x:c r="C255" s="48" t="str">
        <x:v>Adalimumab</x:v>
      </x:c>
      <x:c r="D255" s="73" t="n">
        <x:v>50.3</x:v>
      </x:c>
      <x:c r="E255" s="73" t="n">
        <x:v>37.48573303222656</x:v>
      </x:c>
      <x:c r="F255" s="73" t="n">
        <x:v>37.48573303222656</x:v>
      </x:c>
      <x:c r="G255" s="48" t="n">
        <x:v>1</x:v>
      </x:c>
      <x:c r="H255" s="50" t="n">
        <x:v>0.7277704477310181</x:v>
      </x:c>
      <x:c r="I255" s="48" t="n">
        <x:v>1</x:v>
      </x:c>
    </x:row>
    <x:row r="256">
      <x:c r="A256" s="48" t="str">
        <x:v>CT0462_A2_001</x:v>
      </x:c>
      <x:c r="B256" s="48" t="str">
        <x:v>CT0462</x:v>
      </x:c>
      <x:c r="C256" s="48" t="str">
        <x:v>Ixekizumab</x:v>
      </x:c>
      <x:c r="D256" s="73" t="n">
        <x:v>2.469135802</x:v>
      </x:c>
      <x:c r="E256" s="73" t="n">
        <x:v>8.928319931030273</x:v>
      </x:c>
      <x:c r="F256" s="73" t="n">
        <x:v>8.928319931030273</x:v>
      </x:c>
      <x:c r="G256" s="48" t="n">
        <x:v>0</x:v>
      </x:c>
      <x:c r="H256" s="50" t="n">
        <x:v>0.3371367156505584</x:v>
      </x:c>
      <x:c r="I256" s="48" t="n">
        <x:v>0</x:v>
      </x:c>
    </x:row>
    <x:row r="257">
      <x:c r="A257" s="48" t="str">
        <x:v>CT0462_A3_001</x:v>
      </x:c>
      <x:c r="B257" s="48" t="str">
        <x:v>CT0462</x:v>
      </x:c>
      <x:c r="C257" s="48" t="str">
        <x:v>Ixekizumab</x:v>
      </x:c>
      <x:c r="D257" s="73" t="n">
        <x:v>2.409638554</x:v>
      </x:c>
      <x:c r="E257" s="73" t="n">
        <x:v>8.823356628417969</x:v>
      </x:c>
      <x:c r="F257" s="73" t="n">
        <x:v>8.823356628417969</x:v>
      </x:c>
      <x:c r="G257" s="48" t="n">
        <x:v>0</x:v>
      </x:c>
      <x:c r="H257" s="50" t="n">
        <x:v>0.2860644459724426</x:v>
      </x:c>
      <x:c r="I257" s="48" t="n">
        <x:v>0</x:v>
      </x:c>
    </x:row>
    <x:row r="258">
      <x:c r="A258" s="48" t="str">
        <x:v>CT0454_A2_002</x:v>
      </x:c>
      <x:c r="B258" s="48" t="str">
        <x:v>CT0454</x:v>
      </x:c>
      <x:c r="C258" s="48" t="str">
        <x:v>Obinutuzumab</x:v>
      </x:c>
      <x:c r="D258" s="73" t="n">
        <x:v>0</x:v>
      </x:c>
      <x:c r="E258" s="73" t="n">
        <x:v>1.331829071044922</x:v>
      </x:c>
      <x:c r="F258" s="73" t="n">
        <x:v>1.331829071044922</x:v>
      </x:c>
      <x:c r="G258" s="48" t="n">
        <x:v>0</x:v>
      </x:c>
      <x:c r="H258" s="50" t="n">
        <x:v>0.0480092987418174</x:v>
      </x:c>
      <x:c r="I258" s="48" t="n">
        <x:v>0</x:v>
      </x:c>
    </x:row>
    <x:row r="259">
      <x:c r="A259" s="48" t="str">
        <x:v>CT0454_A2_009</x:v>
      </x:c>
      <x:c r="B259" s="48" t="str">
        <x:v>CT0454</x:v>
      </x:c>
      <x:c r="C259" s="48" t="str">
        <x:v>Obinutuzumab</x:v>
      </x:c>
      <x:c r="D259" s="73" t="n">
        <x:v>0</x:v>
      </x:c>
      <x:c r="E259" s="73" t="n">
        <x:v>1.2893081903457642</x:v>
      </x:c>
      <x:c r="F259" s="73" t="n">
        <x:v>1.2893081903457642</x:v>
      </x:c>
      <x:c r="G259" s="48" t="n">
        <x:v>0</x:v>
      </x:c>
      <x:c r="H259" s="50" t="n">
        <x:v>0.0486898049712181</x:v>
      </x:c>
      <x:c r="I259" s="48" t="n">
        <x:v>0</x:v>
      </x:c>
    </x:row>
    <x:row r="260">
      <x:c r="A260" s="48" t="str">
        <x:v>CT0466_A1_001</x:v>
      </x:c>
      <x:c r="B260" s="48" t="str">
        <x:v>CT0466</x:v>
      </x:c>
      <x:c r="C260" s="48" t="str">
        <x:v>Ramucirumab</x:v>
      </x:c>
      <x:c r="D260" s="73" t="n">
        <x:v>4.054054054</x:v>
      </x:c>
      <x:c r="E260" s="73" t="n">
        <x:v>4.571061134338379</x:v>
      </x:c>
      <x:c r="F260" s="73" t="n">
        <x:v>4.571061134338379</x:v>
      </x:c>
      <x:c r="G260" s="48" t="n">
        <x:v>0</x:v>
      </x:c>
      <x:c r="H260" s="50" t="n">
        <x:v>0.0085171805694699</x:v>
      </x:c>
      <x:c r="I260" s="48" t="n">
        <x:v>0</x:v>
      </x:c>
    </x:row>
    <x:row r="261">
      <x:c r="A261" s="48" t="str">
        <x:v>CT0454_A1_006</x:v>
      </x:c>
      <x:c r="B261" s="48" t="str">
        <x:v>CT0454</x:v>
      </x:c>
      <x:c r="C261" s="48" t="str">
        <x:v>Atezolizumab</x:v>
      </x:c>
      <x:c r="D261" s="73" t="n">
        <x:v>0</x:v>
      </x:c>
      <x:c r="E261" s="73" t="n">
        <x:v>3.7008447647094727</x:v>
      </x:c>
      <x:c r="F261" s="73" t="n">
        <x:v>3.7008447647094727</x:v>
      </x:c>
      <x:c r="G261" s="48" t="n">
        <x:v>0</x:v>
      </x:c>
      <x:c r="H261" s="50" t="n">
        <x:v>0.1590559184551239</x:v>
      </x:c>
      <x:c r="I261" s="48" t="n">
        <x:v>0</x:v>
      </x:c>
    </x:row>
    <x:row r="262">
      <x:c r="A262" s="48" t="str">
        <x:v>CT0454_A1_008</x:v>
      </x:c>
      <x:c r="B262" s="48" t="str">
        <x:v>CT0454</x:v>
      </x:c>
      <x:c r="C262" s="48" t="str">
        <x:v>Atezolizumab</x:v>
      </x:c>
      <x:c r="D262" s="73" t="n">
        <x:v>0</x:v>
      </x:c>
      <x:c r="E262" s="73" t="n">
        <x:v>2.863595962524414</x:v>
      </x:c>
      <x:c r="F262" s="73" t="n">
        <x:v>2.863595962524414</x:v>
      </x:c>
      <x:c r="G262" s="48" t="n">
        <x:v>0</x:v>
      </x:c>
      <x:c r="H262" s="50" t="n">
        <x:v>0.1358545273542404</x:v>
      </x:c>
      <x:c r="I262" s="48" t="n">
        <x:v>0</x:v>
      </x:c>
    </x:row>
    <x:row r="263">
      <x:c r="A263" s="48" t="str">
        <x:v>CT0454_A2_006</x:v>
      </x:c>
      <x:c r="B263" s="48" t="str">
        <x:v>CT0454</x:v>
      </x:c>
      <x:c r="C263" s="48" t="str">
        <x:v>Obinutuzumab</x:v>
      </x:c>
      <x:c r="D263" s="73" t="n">
        <x:v>0</x:v>
      </x:c>
      <x:c r="E263" s="73" t="n">
        <x:v>1.2359094619750977</x:v>
      </x:c>
      <x:c r="F263" s="73" t="n">
        <x:v>1.2359094619750977</x:v>
      </x:c>
      <x:c r="G263" s="48" t="n">
        <x:v>0</x:v>
      </x:c>
      <x:c r="H263" s="50" t="n">
        <x:v>0.0488461554050445</x:v>
      </x:c>
      <x:c r="I263" s="48" t="n">
        <x:v>0</x:v>
      </x:c>
    </x:row>
    <x:row r="264">
      <x:c r="A264" s="48" t="str">
        <x:v>CT0454_A2_008</x:v>
      </x:c>
      <x:c r="B264" s="48" t="str">
        <x:v>CT0454</x:v>
      </x:c>
      <x:c r="C264" s="48" t="str">
        <x:v>Obinutuzumab</x:v>
      </x:c>
      <x:c r="D264" s="73" t="n">
        <x:v>0</x:v>
      </x:c>
      <x:c r="E264" s="73" t="n">
        <x:v>1.2598321437835691</x:v>
      </x:c>
      <x:c r="F264" s="73" t="n">
        <x:v>1.2598321437835691</x:v>
      </x:c>
      <x:c r="G264" s="48" t="n">
        <x:v>0</x:v>
      </x:c>
      <x:c r="H264" s="50" t="n">
        <x:v>0.0498025938868522</x:v>
      </x:c>
      <x:c r="I264" s="48" t="n">
        <x:v>0</x:v>
      </x:c>
    </x:row>
    <x:row r="265">
      <x:c r="A265" s="48" t="str">
        <x:v>CT0487_A1_002</x:v>
      </x:c>
      <x:c r="B265" s="48" t="str">
        <x:v>CT0487</x:v>
      </x:c>
      <x:c r="C265" s="48" t="str">
        <x:v>Rituximab</x:v>
      </x:c>
      <x:c r="D265" s="73" t="n">
        <x:v>0.7</x:v>
      </x:c>
      <x:c r="E265" s="73" t="n">
        <x:v>2.8679444789886475</x:v>
      </x:c>
      <x:c r="F265" s="73" t="n">
        <x:v>2.8679444789886475</x:v>
      </x:c>
      <x:c r="G265" s="48" t="n">
        <x:v>0</x:v>
      </x:c>
      <x:c r="H265" s="50" t="n">
        <x:v>0.1545231193304062</x:v>
      </x:c>
      <x:c r="I265" s="48" t="n">
        <x:v>0</x:v>
      </x:c>
    </x:row>
    <x:row r="266">
      <x:c r="A266" s="48" t="str">
        <x:v>CT0487_A2_002</x:v>
      </x:c>
      <x:c r="B266" s="48" t="str">
        <x:v>CT0487</x:v>
      </x:c>
      <x:c r="C266" s="48" t="str">
        <x:v>Rituximab</x:v>
      </x:c>
      <x:c r="D266" s="73" t="n">
        <x:v>0</x:v>
      </x:c>
      <x:c r="E266" s="73" t="n">
        <x:v>2.5757744312286377</x:v>
      </x:c>
      <x:c r="F266" s="73" t="n">
        <x:v>2.5757744312286377</x:v>
      </x:c>
      <x:c r="G266" s="48" t="n">
        <x:v>0</x:v>
      </x:c>
      <x:c r="H266" s="50" t="n">
        <x:v>0.146641343832016</x:v>
      </x:c>
      <x:c r="I266" s="48" t="n">
        <x:v>0</x:v>
      </x:c>
    </x:row>
    <x:row r="267">
      <x:c r="A267" s="48" t="str">
        <x:v>CT0487_A1_003</x:v>
      </x:c>
      <x:c r="B267" s="48" t="str">
        <x:v>CT0487</x:v>
      </x:c>
      <x:c r="C267" s="48" t="str">
        <x:v>Rituximab</x:v>
      </x:c>
      <x:c r="D267" s="73" t="n">
        <x:v>3.5</x:v>
      </x:c>
      <x:c r="E267" s="73" t="n">
        <x:v>2.9003169536590576</x:v>
      </x:c>
      <x:c r="F267" s="73" t="n">
        <x:v>2.9003169536590576</x:v>
      </x:c>
      <x:c r="G267" s="48" t="n">
        <x:v>0</x:v>
      </x:c>
      <x:c r="H267" s="50" t="n">
        <x:v>0.1529955714941024</x:v>
      </x:c>
      <x:c r="I267" s="48" t="n">
        <x:v>0</x:v>
      </x:c>
    </x:row>
    <x:row r="268">
      <x:c r="A268" s="48" t="str">
        <x:v>CT0487_A2_003</x:v>
      </x:c>
      <x:c r="B268" s="48" t="str">
        <x:v>CT0487</x:v>
      </x:c>
      <x:c r="C268" s="48" t="str">
        <x:v>Rituximab</x:v>
      </x:c>
      <x:c r="D268" s="73" t="n">
        <x:v>1.3</x:v>
      </x:c>
      <x:c r="E268" s="73" t="n">
        <x:v>2.5431389808654785</x:v>
      </x:c>
      <x:c r="F268" s="73" t="n">
        <x:v>2.5431389808654785</x:v>
      </x:c>
      <x:c r="G268" s="48" t="n">
        <x:v>0</x:v>
      </x:c>
      <x:c r="H268" s="50" t="n">
        <x:v>0.1453932523727417</x:v>
      </x:c>
      <x:c r="I268" s="48" t="n">
        <x:v>0</x:v>
      </x:c>
    </x:row>
    <x:row r="269">
      <x:c r="A269" s="48" t="str">
        <x:v>CT0487_A1_004</x:v>
      </x:c>
      <x:c r="B269" s="48" t="str">
        <x:v>CT0487</x:v>
      </x:c>
      <x:c r="C269" s="48" t="str">
        <x:v>Rituximab</x:v>
      </x:c>
      <x:c r="D269" s="73" t="n">
        <x:v>1.4</x:v>
      </x:c>
      <x:c r="E269" s="73" t="n">
        <x:v>2.8792099952697754</x:v>
      </x:c>
      <x:c r="F269" s="73" t="n">
        <x:v>2.8792099952697754</x:v>
      </x:c>
      <x:c r="G269" s="48" t="n">
        <x:v>0</x:v>
      </x:c>
      <x:c r="H269" s="50" t="n">
        <x:v>0.1602267622947693</x:v>
      </x:c>
      <x:c r="I269" s="48" t="n">
        <x:v>0</x:v>
      </x:c>
    </x:row>
    <x:row r="270">
      <x:c r="A270" s="48" t="str">
        <x:v>CT0487_A2_004</x:v>
      </x:c>
      <x:c r="B270" s="48" t="str">
        <x:v>CT0487</x:v>
      </x:c>
      <x:c r="C270" s="48" t="str">
        <x:v>Rituximab</x:v>
      </x:c>
      <x:c r="D270" s="73" t="n">
        <x:v>0</x:v>
      </x:c>
      <x:c r="E270" s="73" t="n">
        <x:v>2.5299525260925293</x:v>
      </x:c>
      <x:c r="F270" s="73" t="n">
        <x:v>2.5299525260925293</x:v>
      </x:c>
      <x:c r="G270" s="48" t="n">
        <x:v>0</x:v>
      </x:c>
      <x:c r="H270" s="50" t="n">
        <x:v>0.1404835432767868</x:v>
      </x:c>
      <x:c r="I270" s="48" t="n">
        <x:v>0</x:v>
      </x:c>
    </x:row>
    <x:row r="271">
      <x:c r="A271" s="48" t="str">
        <x:v>CT0487_A1_005</x:v>
      </x:c>
      <x:c r="B271" s="48" t="str">
        <x:v>CT0487</x:v>
      </x:c>
      <x:c r="C271" s="48" t="str">
        <x:v>Rituximab</x:v>
      </x:c>
      <x:c r="D271" s="73" t="n">
        <x:v>1.4</x:v>
      </x:c>
      <x:c r="E271" s="73" t="n">
        <x:v>2.8715932369232178</x:v>
      </x:c>
      <x:c r="F271" s="73" t="n">
        <x:v>2.8715932369232178</x:v>
      </x:c>
      <x:c r="G271" s="48" t="n">
        <x:v>0</x:v>
      </x:c>
      <x:c r="H271" s="50" t="n">
        <x:v>0.1512041240930557</x:v>
      </x:c>
      <x:c r="I271" s="48" t="n">
        <x:v>0</x:v>
      </x:c>
    </x:row>
    <x:row r="272">
      <x:c r="A272" s="48" t="str">
        <x:v>CT0487_A2_005</x:v>
      </x:c>
      <x:c r="B272" s="48" t="str">
        <x:v>CT0487</x:v>
      </x:c>
      <x:c r="C272" s="48" t="str">
        <x:v>Rituximab</x:v>
      </x:c>
      <x:c r="D272" s="73" t="n">
        <x:v>0</x:v>
      </x:c>
      <x:c r="E272" s="73" t="n">
        <x:v>2.509568691253662</x:v>
      </x:c>
      <x:c r="F272" s="73" t="n">
        <x:v>2.509568691253662</x:v>
      </x:c>
      <x:c r="G272" s="48" t="n">
        <x:v>0</x:v>
      </x:c>
      <x:c r="H272" s="50" t="n">
        <x:v>0.1361634135246276</x:v>
      </x:c>
      <x:c r="I272" s="48" t="n">
        <x:v>0</x:v>
      </x:c>
    </x:row>
    <x:row r="273">
      <x:c r="A273" s="48" t="str">
        <x:v>CT0487_A1_006</x:v>
      </x:c>
      <x:c r="B273" s="48" t="str">
        <x:v>CT0487</x:v>
      </x:c>
      <x:c r="C273" s="48" t="str">
        <x:v>Rituximab</x:v>
      </x:c>
      <x:c r="D273" s="73" t="n">
        <x:v>2.1</x:v>
      </x:c>
      <x:c r="E273" s="73" t="n">
        <x:v>2.8707022666931152</x:v>
      </x:c>
      <x:c r="F273" s="73" t="n">
        <x:v>2.8707022666931152</x:v>
      </x:c>
      <x:c r="G273" s="48" t="n">
        <x:v>0</x:v>
      </x:c>
      <x:c r="H273" s="50" t="n">
        <x:v>0.1459512859582901</x:v>
      </x:c>
      <x:c r="I273" s="48" t="n">
        <x:v>0</x:v>
      </x:c>
    </x:row>
    <x:row r="274">
      <x:c r="A274" s="48" t="str">
        <x:v>CT0487_A2_006</x:v>
      </x:c>
      <x:c r="B274" s="48" t="str">
        <x:v>CT0487</x:v>
      </x:c>
      <x:c r="C274" s="48" t="str">
        <x:v>Rituximab</x:v>
      </x:c>
      <x:c r="D274" s="73" t="n">
        <x:v>0</x:v>
      </x:c>
      <x:c r="E274" s="73" t="n">
        <x:v>2.509017944335937</x:v>
      </x:c>
      <x:c r="F274" s="73" t="n">
        <x:v>2.509017944335937</x:v>
      </x:c>
      <x:c r="G274" s="48" t="n">
        <x:v>0</x:v>
      </x:c>
      <x:c r="H274" s="50" t="n">
        <x:v>0.1388593018054962</x:v>
      </x:c>
      <x:c r="I274" s="48" t="n">
        <x:v>0</x:v>
      </x:c>
    </x:row>
    <x:row r="275">
      <x:c r="A275" s="48" t="str">
        <x:v>CT0487_A1_007</x:v>
      </x:c>
      <x:c r="B275" s="48" t="str">
        <x:v>CT0487</x:v>
      </x:c>
      <x:c r="C275" s="48" t="str">
        <x:v>Rituximab</x:v>
      </x:c>
      <x:c r="D275" s="73" t="n">
        <x:v>5.1</x:v>
      </x:c>
      <x:c r="E275" s="73" t="n">
        <x:v>2.89151382446289</x:v>
      </x:c>
      <x:c r="F275" s="73" t="n">
        <x:v>2.89151382446289</x:v>
      </x:c>
      <x:c r="G275" s="48" t="n">
        <x:v>0</x:v>
      </x:c>
      <x:c r="H275" s="50" t="n">
        <x:v>0.1476987302303314</x:v>
      </x:c>
      <x:c r="I275" s="48" t="n">
        <x:v>0</x:v>
      </x:c>
    </x:row>
    <x:row r="276">
      <x:c r="A276" s="48" t="str">
        <x:v>CT0487_A2_007</x:v>
      </x:c>
      <x:c r="B276" s="48" t="str">
        <x:v>CT0487</x:v>
      </x:c>
      <x:c r="C276" s="48" t="str">
        <x:v>Rituximab</x:v>
      </x:c>
      <x:c r="D276" s="73" t="n">
        <x:v>2.7</x:v>
      </x:c>
      <x:c r="E276" s="73" t="n">
        <x:v>2.5087127685546875</x:v>
      </x:c>
      <x:c r="F276" s="73" t="n">
        <x:v>2.5087127685546875</x:v>
      </x:c>
      <x:c r="G276" s="48" t="n">
        <x:v>0</x:v>
      </x:c>
      <x:c r="H276" s="50" t="n">
        <x:v>0.1412144005298614</x:v>
      </x:c>
      <x:c r="I276" s="48" t="n">
        <x:v>0</x:v>
      </x:c>
    </x:row>
    <x:row r="277">
      <x:c r="A277" s="48" t="str">
        <x:v>CT0487_A1_008</x:v>
      </x:c>
      <x:c r="B277" s="48" t="str">
        <x:v>CT0487</x:v>
      </x:c>
      <x:c r="C277" s="48" t="str">
        <x:v>Rituximab</x:v>
      </x:c>
      <x:c r="D277" s="73" t="n">
        <x:v>7.4</x:v>
      </x:c>
      <x:c r="E277" s="73" t="n">
        <x:v>2.866223096847534</x:v>
      </x:c>
      <x:c r="F277" s="73" t="n">
        <x:v>2.866223096847534</x:v>
      </x:c>
      <x:c r="G277" s="48" t="n">
        <x:v>0</x:v>
      </x:c>
      <x:c r="H277" s="50" t="n">
        <x:v>0.142875999212265</x:v>
      </x:c>
      <x:c r="I277" s="48" t="n">
        <x:v>0</x:v>
      </x:c>
    </x:row>
    <x:row r="278">
      <x:c r="A278" s="48" t="str">
        <x:v>CT0487_A2_008</x:v>
      </x:c>
      <x:c r="B278" s="48" t="str">
        <x:v>CT0487</x:v>
      </x:c>
      <x:c r="C278" s="48" t="str">
        <x:v>Rituximab</x:v>
      </x:c>
      <x:c r="D278" s="73" t="n">
        <x:v>11</x:v>
      </x:c>
      <x:c r="E278" s="73" t="n">
        <x:v>2.509568691253662</x:v>
      </x:c>
      <x:c r="F278" s="73" t="n">
        <x:v>2.509568691253662</x:v>
      </x:c>
      <x:c r="G278" s="48" t="n">
        <x:v>1</x:v>
      </x:c>
      <x:c r="H278" s="50" t="n">
        <x:v>0.1361634135246276</x:v>
      </x:c>
      <x:c r="I278" s="48" t="n">
        <x:v>0</x:v>
      </x:c>
    </x:row>
    <x:row r="279">
      <x:c r="A279" s="48" t="str">
        <x:v>CT0492_A1_001</x:v>
      </x:c>
      <x:c r="B279" s="48" t="str">
        <x:v>CT0492</x:v>
      </x:c>
      <x:c r="C279" s="48" t="str">
        <x:v>Dupilumab</x:v>
      </x:c>
      <x:c r="D279" s="73" t="n">
        <x:v>5.405405405</x:v>
      </x:c>
      <x:c r="E279" s="73" t="n">
        <x:v>5.9913330078125</x:v>
      </x:c>
      <x:c r="F279" s="73" t="n">
        <x:v>5.9913330078125</x:v>
      </x:c>
      <x:c r="G279" s="48" t="n">
        <x:v>0</x:v>
      </x:c>
      <x:c r="H279" s="50" t="n">
        <x:v>0.0258008800446987</x:v>
      </x:c>
      <x:c r="I279" s="48" t="n">
        <x:v>0</x:v>
      </x:c>
    </x:row>
    <x:row r="280">
      <x:c r="A280" s="48" t="str">
        <x:v>CT0492_A2_001</x:v>
      </x:c>
      <x:c r="B280" s="48" t="str">
        <x:v>CT0492</x:v>
      </x:c>
      <x:c r="C280" s="48" t="str">
        <x:v>Dupilumab</x:v>
      </x:c>
      <x:c r="D280" s="73" t="n">
        <x:v>12.16216216</x:v>
      </x:c>
      <x:c r="E280" s="73" t="n">
        <x:v>5.9913330078125</x:v>
      </x:c>
      <x:c r="F280" s="73" t="n">
        <x:v>5.9913330078125</x:v>
      </x:c>
      <x:c r="G280" s="48" t="n">
        <x:v>1</x:v>
      </x:c>
      <x:c r="H280" s="50" t="n">
        <x:v>0.0258008800446987</x:v>
      </x:c>
      <x:c r="I280" s="48" t="n">
        <x:v>0</x:v>
      </x:c>
    </x:row>
    <x:row r="281">
      <x:c r="A281" s="48" t="str">
        <x:v>CT0493_A2_002</x:v>
      </x:c>
      <x:c r="B281" s="48" t="str">
        <x:v>CT0493</x:v>
      </x:c>
      <x:c r="C281" s="48" t="str">
        <x:v>Atezolizumab</x:v>
      </x:c>
      <x:c r="D281" s="73" t="n">
        <x:v>13.3</x:v>
      </x:c>
      <x:c r="E281" s="73" t="n">
        <x:v>24.40357208251953</x:v>
      </x:c>
      <x:c r="F281" s="73" t="n">
        <x:v>24.40357208251953</x:v>
      </x:c>
      <x:c r="G281" s="48" t="n">
        <x:v>1</x:v>
      </x:c>
      <x:c r="H281" s="50" t="n">
        <x:v>0.6572360396385193</x:v>
      </x:c>
      <x:c r="I281" s="48" t="n">
        <x:v>1</x:v>
      </x:c>
    </x:row>
    <x:row r="282">
      <x:c r="A282" s="48" t="str">
        <x:v>CT0494_A2_001</x:v>
      </x:c>
      <x:c r="B282" s="48" t="str">
        <x:v>CT0494</x:v>
      </x:c>
      <x:c r="C282" s="48" t="str">
        <x:v>Dupilumab</x:v>
      </x:c>
      <x:c r="D282" s="73" t="n">
        <x:v>15.4</x:v>
      </x:c>
      <x:c r="E282" s="73" t="n">
        <x:v>5.911269187927246</x:v>
      </x:c>
      <x:c r="F282" s="73" t="n">
        <x:v>5.911269187927246</x:v>
      </x:c>
      <x:c r="G282" s="48" t="n">
        <x:v>1</x:v>
      </x:c>
      <x:c r="H282" s="50" t="n">
        <x:v>0.0264793038368225</x:v>
      </x:c>
      <x:c r="I282" s="48" t="n">
        <x:v>0</x:v>
      </x:c>
    </x:row>
    <x:row r="283">
      <x:c r="A283" s="48" t="str">
        <x:v>CT0497_A1_001</x:v>
      </x:c>
      <x:c r="B283" s="48" t="str">
        <x:v>CT0497</x:v>
      </x:c>
      <x:c r="C283" s="48" t="str">
        <x:v>Atezolizumab</x:v>
      </x:c>
      <x:c r="D283" s="73" t="n">
        <x:v>0</x:v>
      </x:c>
      <x:c r="E283" s="73" t="n">
        <x:v>10.96435546875</x:v>
      </x:c>
      <x:c r="F283" s="73" t="n">
        <x:v>10.96435546875</x:v>
      </x:c>
      <x:c r="G283" s="48" t="n">
        <x:v>0</x:v>
      </x:c>
      <x:c r="H283" s="50" t="n">
        <x:v>0.2382301986217498</x:v>
      </x:c>
      <x:c r="I283" s="48" t="n">
        <x:v>0</x:v>
      </x:c>
    </x:row>
    <x:row r="284">
      <x:c r="A284" s="48" t="str">
        <x:v>CT0497_A2_001</x:v>
      </x:c>
      <x:c r="B284" s="48" t="str">
        <x:v>CT0497</x:v>
      </x:c>
      <x:c r="C284" s="48" t="str">
        <x:v>Atezolizumab</x:v>
      </x:c>
      <x:c r="D284" s="73" t="n">
        <x:v>0</x:v>
      </x:c>
      <x:c r="E284" s="73" t="n">
        <x:v>10.96435546875</x:v>
      </x:c>
      <x:c r="F284" s="73" t="n">
        <x:v>10.96435546875</x:v>
      </x:c>
      <x:c r="G284" s="48" t="n">
        <x:v>0</x:v>
      </x:c>
      <x:c r="H284" s="50" t="n">
        <x:v>0.2382301986217498</x:v>
      </x:c>
      <x:c r="I284" s="48" t="n">
        <x:v>0</x:v>
      </x:c>
    </x:row>
    <x:row r="285">
      <x:c r="A285" s="48" t="str">
        <x:v>CT0497_A3_001</x:v>
      </x:c>
      <x:c r="B285" s="48" t="str">
        <x:v>CT0497</x:v>
      </x:c>
      <x:c r="C285" s="48" t="str">
        <x:v>Atezolizumab</x:v>
      </x:c>
      <x:c r="D285" s="73" t="n">
        <x:v>0</x:v>
      </x:c>
      <x:c r="E285" s="73" t="n">
        <x:v>19.26157760620117</x:v>
      </x:c>
      <x:c r="F285" s="73" t="n">
        <x:v>19.26157760620117</x:v>
      </x:c>
      <x:c r="G285" s="48" t="n">
        <x:v>0</x:v>
      </x:c>
      <x:c r="H285" s="50" t="n">
        <x:v>0.3915283679962158</x:v>
      </x:c>
      <x:c r="I285" s="48" t="n">
        <x:v>0</x:v>
      </x:c>
    </x:row>
    <x:row r="286">
      <x:c r="A286" s="48" t="str">
        <x:v>CT0497_A4_001</x:v>
      </x:c>
      <x:c r="B286" s="48" t="str">
        <x:v>CT0497</x:v>
      </x:c>
      <x:c r="C286" s="48" t="str">
        <x:v>Atezolizumab</x:v>
      </x:c>
      <x:c r="D286" s="73" t="n">
        <x:v>0</x:v>
      </x:c>
      <x:c r="E286" s="73" t="n">
        <x:v>17.975725173950195</x:v>
      </x:c>
      <x:c r="F286" s="73" t="n">
        <x:v>17.975725173950195</x:v>
      </x:c>
      <x:c r="G286" s="48" t="n">
        <x:v>0</x:v>
      </x:c>
      <x:c r="H286" s="50" t="n">
        <x:v>0.529769241809845</x:v>
      </x:c>
      <x:c r="I286" s="48" t="n">
        <x:v>1</x:v>
      </x:c>
    </x:row>
    <x:row r="287">
      <x:c r="A287" s="48" t="str">
        <x:v>CT0511_A1_001</x:v>
      </x:c>
      <x:c r="B287" s="48" t="str">
        <x:v>CT0511</x:v>
      </x:c>
      <x:c r="C287" s="48" t="str">
        <x:v>Bezlotoxumab</x:v>
      </x:c>
      <x:c r="D287" s="73" t="n">
        <x:v>5.4</x:v>
      </x:c>
      <x:c r="E287" s="73" t="n">
        <x:v>2.091610908508301</x:v>
      </x:c>
      <x:c r="F287" s="73" t="n">
        <x:v>2.091610908508301</x:v>
      </x:c>
      <x:c r="G287" s="48" t="n">
        <x:v>0</x:v>
      </x:c>
      <x:c r="H287" s="50" t="n">
        <x:v>0.037930492311716</x:v>
      </x:c>
      <x:c r="I287" s="48" t="n">
        <x:v>0</x:v>
      </x:c>
    </x:row>
    <x:row r="288">
      <x:c r="A288" s="48" t="str">
        <x:v>CT0514_A1_001</x:v>
      </x:c>
      <x:c r="B288" s="48" t="str">
        <x:v>CT0514</x:v>
      </x:c>
      <x:c r="C288" s="48" t="str">
        <x:v>Secukinumab</x:v>
      </x:c>
      <x:c r="D288" s="73" t="n">
        <x:v>0</x:v>
      </x:c>
      <x:c r="E288" s="73" t="n">
        <x:v>10.624307632446287</x:v>
      </x:c>
      <x:c r="F288" s="73" t="n">
        <x:v>10.624307632446287</x:v>
      </x:c>
      <x:c r="G288" s="48" t="n">
        <x:v>0</x:v>
      </x:c>
      <x:c r="H288" s="50" t="n">
        <x:v>0.1512541323900222</x:v>
      </x:c>
      <x:c r="I288" s="48" t="n">
        <x:v>0</x:v>
      </x:c>
    </x:row>
    <x:row r="289">
      <x:c r="A289" s="48" t="str">
        <x:v>CT0514_A2_001</x:v>
      </x:c>
      <x:c r="B289" s="48" t="str">
        <x:v>CT0514</x:v>
      </x:c>
      <x:c r="C289" s="48" t="str">
        <x:v>Secukinumab</x:v>
      </x:c>
      <x:c r="D289" s="73" t="n">
        <x:v>0</x:v>
      </x:c>
      <x:c r="E289" s="73" t="n">
        <x:v>19.847320556640625</x:v>
      </x:c>
      <x:c r="F289" s="73" t="n">
        <x:v>19.847320556640625</x:v>
      </x:c>
      <x:c r="G289" s="48" t="n">
        <x:v>0</x:v>
      </x:c>
      <x:c r="H289" s="50" t="n">
        <x:v>0.2526349723339081</x:v>
      </x:c>
      <x:c r="I289" s="48" t="n">
        <x:v>0</x:v>
      </x:c>
    </x:row>
    <x:row r="290">
      <x:c r="A290" s="48" t="str">
        <x:v>CT0525_A1_001</x:v>
      </x:c>
      <x:c r="B290" s="48" t="str">
        <x:v>CT0525</x:v>
      </x:c>
      <x:c r="C290" s="48" t="str">
        <x:v>Golimumab</x:v>
      </x:c>
      <x:c r="D290" s="73" t="n">
        <x:v>2.4</x:v>
      </x:c>
      <x:c r="E290" s="73" t="n">
        <x:v>1.830733180046081</x:v>
      </x:c>
      <x:c r="F290" s="73" t="n">
        <x:v>1.830733180046081</x:v>
      </x:c>
      <x:c r="G290" s="48" t="n">
        <x:v>0</x:v>
      </x:c>
      <x:c r="H290" s="50" t="n">
        <x:v>0.1988284587860107</x:v>
      </x:c>
      <x:c r="I290" s="48" t="n">
        <x:v>0</x:v>
      </x:c>
    </x:row>
    <x:row r="291">
      <x:c r="A291" s="48" t="str">
        <x:v>CT0525_A1_002</x:v>
      </x:c>
      <x:c r="B291" s="48" t="str">
        <x:v>CT0525</x:v>
      </x:c>
      <x:c r="C291" s="48" t="str">
        <x:v>Golimumab</x:v>
      </x:c>
      <x:c r="D291" s="73" t="n">
        <x:v>0</x:v>
      </x:c>
      <x:c r="E291" s="73" t="n">
        <x:v>1.9098312854766848</x:v>
      </x:c>
      <x:c r="F291" s="73" t="n">
        <x:v>1.9098312854766848</x:v>
      </x:c>
      <x:c r="G291" s="48" t="n">
        <x:v>0</x:v>
      </x:c>
      <x:c r="H291" s="50" t="n">
        <x:v>0.1984808146953582</x:v>
      </x:c>
      <x:c r="I291" s="48" t="n">
        <x:v>0</x:v>
      </x:c>
    </x:row>
    <x:row r="292">
      <x:c r="A292" s="48" t="str">
        <x:v>CT0539_A1_001</x:v>
      </x:c>
      <x:c r="B292" s="48" t="str">
        <x:v>CT0539</x:v>
      </x:c>
      <x:c r="C292" s="48" t="str">
        <x:v>Atezolizumab</x:v>
      </x:c>
      <x:c r="D292" s="73" t="n">
        <x:v>5.3</x:v>
      </x:c>
      <x:c r="E292" s="73" t="n">
        <x:v>15.76151180267334</x:v>
      </x:c>
      <x:c r="F292" s="73" t="n">
        <x:v>15.76151180267334</x:v>
      </x:c>
      <x:c r="G292" s="48" t="n">
        <x:v>0</x:v>
      </x:c>
      <x:c r="H292" s="50" t="n">
        <x:v>0.6117059588432312</x:v>
      </x:c>
      <x:c r="I292" s="48" t="n">
        <x:v>1</x:v>
      </x:c>
    </x:row>
    <x:row r="293">
      <x:c r="A293" s="48" t="str">
        <x:v>CT0539_A2_001</x:v>
      </x:c>
      <x:c r="B293" s="48" t="str">
        <x:v>CT0539</x:v>
      </x:c>
      <x:c r="C293" s="48" t="str">
        <x:v>Atezolizumab</x:v>
      </x:c>
      <x:c r="D293" s="73" t="n">
        <x:v>52.6</x:v>
      </x:c>
      <x:c r="E293" s="73" t="n">
        <x:v>15.76151180267334</x:v>
      </x:c>
      <x:c r="F293" s="73" t="n">
        <x:v>15.76151180267334</x:v>
      </x:c>
      <x:c r="G293" s="48" t="n">
        <x:v>1</x:v>
      </x:c>
      <x:c r="H293" s="50" t="n">
        <x:v>0.6117059588432312</x:v>
      </x:c>
      <x:c r="I293" s="48" t="n">
        <x:v>1</x:v>
      </x:c>
    </x:row>
    <x:row r="294">
      <x:c r="A294" s="48" t="str">
        <x:v>CT0539_A3_001</x:v>
      </x:c>
      <x:c r="B294" s="48" t="str">
        <x:v>CT0539</x:v>
      </x:c>
      <x:c r="C294" s="48" t="str">
        <x:v>Atezolizumab</x:v>
      </x:c>
      <x:c r="D294" s="73" t="n">
        <x:v>35.3</x:v>
      </x:c>
      <x:c r="E294" s="73" t="n">
        <x:v>15.809928894042969</x:v>
      </x:c>
      <x:c r="F294" s="73" t="n">
        <x:v>15.809928894042969</x:v>
      </x:c>
      <x:c r="G294" s="48" t="n">
        <x:v>1</x:v>
      </x:c>
      <x:c r="H294" s="50" t="n">
        <x:v>0.5936022400856018</x:v>
      </x:c>
      <x:c r="I294" s="48" t="n">
        <x:v>1</x:v>
      </x:c>
    </x:row>
    <x:row r="295">
      <x:c r="A295" s="48" t="str">
        <x:v>CT0539_A4_001</x:v>
      </x:c>
      <x:c r="B295" s="48" t="str">
        <x:v>CT0539</x:v>
      </x:c>
      <x:c r="C295" s="48" t="str">
        <x:v>Atezolizumab</x:v>
      </x:c>
      <x:c r="D295" s="73" t="n">
        <x:v>50</x:v>
      </x:c>
      <x:c r="E295" s="73" t="n">
        <x:v>16.178714752197266</x:v>
      </x:c>
      <x:c r="F295" s="73" t="n">
        <x:v>16.178714752197266</x:v>
      </x:c>
      <x:c r="G295" s="48" t="n">
        <x:v>1</x:v>
      </x:c>
      <x:c r="H295" s="50" t="n">
        <x:v>0.5592347383499146</x:v>
      </x:c>
      <x:c r="I295" s="48" t="n">
        <x:v>1</x:v>
      </x:c>
    </x:row>
    <x:row r="296">
      <x:c r="A296" s="48" t="str">
        <x:v>CT0539_A5_001</x:v>
      </x:c>
      <x:c r="B296" s="48" t="str">
        <x:v>CT0539</x:v>
      </x:c>
      <x:c r="C296" s="48" t="str">
        <x:v>Atezolizumab</x:v>
      </x:c>
      <x:c r="D296" s="73" t="n">
        <x:v>0</x:v>
      </x:c>
      <x:c r="E296" s="73" t="n">
        <x:v>1.860971212387085</x:v>
      </x:c>
      <x:c r="F296" s="73" t="n">
        <x:v>1.860971212387085</x:v>
      </x:c>
      <x:c r="G296" s="48" t="n">
        <x:v>0</x:v>
      </x:c>
      <x:c r="H296" s="50" t="n">
        <x:v>0.1267630159854889</x:v>
      </x:c>
      <x:c r="I296" s="48" t="n">
        <x:v>0</x:v>
      </x:c>
    </x:row>
    <x:row r="297">
      <x:c r="A297" s="48" t="str">
        <x:v>CT0539_A6_001</x:v>
      </x:c>
      <x:c r="B297" s="48" t="str">
        <x:v>CT0539</x:v>
      </x:c>
      <x:c r="C297" s="48" t="str">
        <x:v>Atezolizumab</x:v>
      </x:c>
      <x:c r="D297" s="73" t="n">
        <x:v>100</x:v>
      </x:c>
      <x:c r="E297" s="73" t="n">
        <x:v>5.414500236511231</x:v>
      </x:c>
      <x:c r="F297" s="73" t="n">
        <x:v>5.414500236511231</x:v>
      </x:c>
      <x:c r="G297" s="48" t="n">
        <x:v>1</x:v>
      </x:c>
      <x:c r="H297" s="50" t="n">
        <x:v>0.2090260684490203</x:v>
      </x:c>
      <x:c r="I297" s="48" t="n">
        <x:v>0</x:v>
      </x:c>
    </x:row>
    <x:row r="298">
      <x:c r="A298" s="48" t="str">
        <x:v>CT0544_A1_001</x:v>
      </x:c>
      <x:c r="B298" s="48" t="str">
        <x:v>CT0544</x:v>
      </x:c>
      <x:c r="C298" s="48" t="str">
        <x:v>Bevacizumab</x:v>
      </x:c>
      <x:c r="D298" s="73" t="n">
        <x:v>5.3</x:v>
      </x:c>
      <x:c r="E298" s="73" t="n">
        <x:v>19.46791076660156</x:v>
      </x:c>
      <x:c r="F298" s="73" t="n">
        <x:v>19.46791076660156</x:v>
      </x:c>
      <x:c r="G298" s="48" t="n">
        <x:v>0</x:v>
      </x:c>
      <x:c r="H298" s="50" t="n">
        <x:v>0.6365000605583191</x:v>
      </x:c>
      <x:c r="I298" s="48" t="n">
        <x:v>1</x:v>
      </x:c>
    </x:row>
    <x:row r="299">
      <x:c r="A299" s="48" t="str">
        <x:v>CT0544_A2_001</x:v>
      </x:c>
      <x:c r="B299" s="48" t="str">
        <x:v>CT0544</x:v>
      </x:c>
      <x:c r="C299" s="48" t="str">
        <x:v>Bevacizumab</x:v>
      </x:c>
      <x:c r="D299" s="73" t="n">
        <x:v>5.3</x:v>
      </x:c>
      <x:c r="E299" s="73" t="n">
        <x:v>21.14533424377441</x:v>
      </x:c>
      <x:c r="F299" s="73" t="n">
        <x:v>21.14533424377441</x:v>
      </x:c>
      <x:c r="G299" s="48" t="n">
        <x:v>0</x:v>
      </x:c>
      <x:c r="H299" s="50" t="n">
        <x:v>0.509450376033783</x:v>
      </x:c>
      <x:c r="I299" s="48" t="n">
        <x:v>1</x:v>
      </x:c>
    </x:row>
    <x:row r="300">
      <x:c r="A300" s="48" t="str">
        <x:v>CT0544_A3_001</x:v>
      </x:c>
      <x:c r="B300" s="48" t="str">
        <x:v>CT0544</x:v>
      </x:c>
      <x:c r="C300" s="48" t="str">
        <x:v>Bevacizumab</x:v>
      </x:c>
      <x:c r="D300" s="73" t="n">
        <x:v>2.6</x:v>
      </x:c>
      <x:c r="E300" s="73" t="n">
        <x:v>21.14533424377441</x:v>
      </x:c>
      <x:c r="F300" s="73" t="n">
        <x:v>21.14533424377441</x:v>
      </x:c>
      <x:c r="G300" s="48" t="n">
        <x:v>0</x:v>
      </x:c>
      <x:c r="H300" s="50" t="n">
        <x:v>0.509450376033783</x:v>
      </x:c>
      <x:c r="I300" s="48" t="n">
        <x:v>1</x:v>
      </x:c>
    </x:row>
    <x:row r="301">
      <x:c r="A301" s="48" t="str">
        <x:v>CT0549_A1_001</x:v>
      </x:c>
      <x:c r="B301" s="48" t="str">
        <x:v>CT0549</x:v>
      </x:c>
      <x:c r="C301" s="48" t="str">
        <x:v>Vedolizumab</x:v>
      </x:c>
      <x:c r="D301" s="73" t="n">
        <x:v>37.5</x:v>
      </x:c>
      <x:c r="E301" s="73" t="n">
        <x:v>2.4086124897003174</x:v>
      </x:c>
      <x:c r="F301" s="73" t="n">
        <x:v>2.4086124897003174</x:v>
      </x:c>
      <x:c r="G301" s="48" t="n">
        <x:v>1</x:v>
      </x:c>
      <x:c r="H301" s="50" t="n">
        <x:v>0.1125103756785392</x:v>
      </x:c>
      <x:c r="I301" s="48" t="n">
        <x:v>0</x:v>
      </x:c>
    </x:row>
    <x:row r="302">
      <x:c r="A302" s="48" t="str">
        <x:v>CT0554_A1_001</x:v>
      </x:c>
      <x:c r="B302" s="48" t="str">
        <x:v>CT0554</x:v>
      </x:c>
      <x:c r="C302" s="48" t="str">
        <x:v>Tralokinumab</x:v>
      </x:c>
      <x:c r="D302" s="73" t="n">
        <x:v>0.8</x:v>
      </x:c>
      <x:c r="E302" s="73" t="n">
        <x:v>1.4932852983474731</x:v>
      </x:c>
      <x:c r="F302" s="73" t="n">
        <x:v>1.4932852983474731</x:v>
      </x:c>
      <x:c r="G302" s="48" t="n">
        <x:v>0</x:v>
      </x:c>
      <x:c r="H302" s="50" t="n">
        <x:v>0.0242745298892259</x:v>
      </x:c>
      <x:c r="I302" s="48" t="n">
        <x:v>0</x:v>
      </x:c>
    </x:row>
    <x:row r="303">
      <x:c r="A303" s="48" t="str">
        <x:v>CT0554_A3_001</x:v>
      </x:c>
      <x:c r="B303" s="48" t="str">
        <x:v>CT0554</x:v>
      </x:c>
      <x:c r="C303" s="48" t="str">
        <x:v>Tralokinumab</x:v>
      </x:c>
      <x:c r="D303" s="73" t="n">
        <x:v>0</x:v>
      </x:c>
      <x:c r="E303" s="73" t="n">
        <x:v>2.063180923461914</x:v>
      </x:c>
      <x:c r="F303" s="73" t="n">
        <x:v>2.063180923461914</x:v>
      </x:c>
      <x:c r="G303" s="48" t="n">
        <x:v>0</x:v>
      </x:c>
      <x:c r="H303" s="50" t="n">
        <x:v>0.0264831483364105</x:v>
      </x:c>
      <x:c r="I303" s="48" t="n">
        <x:v>0</x:v>
      </x:c>
    </x:row>
    <x:row r="304">
      <x:c r="A304" s="48" t="str">
        <x:v>CT0554_A4_001</x:v>
      </x:c>
      <x:c r="B304" s="48" t="str">
        <x:v>CT0554</x:v>
      </x:c>
      <x:c r="C304" s="48" t="str">
        <x:v>Tralokinumab</x:v>
      </x:c>
      <x:c r="D304" s="73" t="n">
        <x:v>3.1</x:v>
      </x:c>
      <x:c r="E304" s="73" t="n">
        <x:v>2.0967721939086914</x:v>
      </x:c>
      <x:c r="F304" s="73" t="n">
        <x:v>2.0967721939086914</x:v>
      </x:c>
      <x:c r="G304" s="48" t="n">
        <x:v>0</x:v>
      </x:c>
      <x:c r="H304" s="50" t="n">
        <x:v>0.0257123038172721</x:v>
      </x:c>
      <x:c r="I304" s="48" t="n">
        <x:v>0</x:v>
      </x:c>
    </x:row>
    <x:row r="305">
      <x:c r="A305" s="48" t="str">
        <x:v>CT0554_A5_001</x:v>
      </x:c>
      <x:c r="B305" s="48" t="str">
        <x:v>CT0554</x:v>
      </x:c>
      <x:c r="C305" s="48" t="str">
        <x:v>Tralokinumab</x:v>
      </x:c>
      <x:c r="D305" s="73" t="n">
        <x:v>0</x:v>
      </x:c>
      <x:c r="E305" s="73" t="n">
        <x:v>1.9443809986114504</x:v>
      </x:c>
      <x:c r="F305" s="73" t="n">
        <x:v>1.9443809986114504</x:v>
      </x:c>
      <x:c r="G305" s="48" t="n">
        <x:v>0</x:v>
      </x:c>
      <x:c r="H305" s="50" t="n">
        <x:v>0.0201172512024641</x:v>
      </x:c>
      <x:c r="I305" s="48" t="n">
        <x:v>0</x:v>
      </x:c>
    </x:row>
    <x:row r="306">
      <x:c r="A306" s="48" t="str">
        <x:v>CT0554_A6_001</x:v>
      </x:c>
      <x:c r="B306" s="48" t="str">
        <x:v>CT0554</x:v>
      </x:c>
      <x:c r="C306" s="48" t="str">
        <x:v>Tralokinumab</x:v>
      </x:c>
      <x:c r="D306" s="73" t="n">
        <x:v>3.9</x:v>
      </x:c>
      <x:c r="E306" s="73" t="n">
        <x:v>2.0273184776306152</x:v>
      </x:c>
      <x:c r="F306" s="73" t="n">
        <x:v>2.0273184776306152</x:v>
      </x:c>
      <x:c r="G306" s="48" t="n">
        <x:v>0</x:v>
      </x:c>
      <x:c r="H306" s="50" t="n">
        <x:v>0.0228063613176345</x:v>
      </x:c>
      <x:c r="I306" s="48" t="n">
        <x:v>0</x:v>
      </x:c>
    </x:row>
    <x:row r="307">
      <x:c r="A307" s="48" t="str">
        <x:v>CT0567_A1_002</x:v>
      </x:c>
      <x:c r="B307" s="48" t="str">
        <x:v>CT0567</x:v>
      </x:c>
      <x:c r="C307" s="48" t="str">
        <x:v>Ofatumumab</x:v>
      </x:c>
      <x:c r="D307" s="73" t="n">
        <x:v>0.8</x:v>
      </x:c>
      <x:c r="E307" s="73" t="n">
        <x:v>1.95847761631012</x:v>
      </x:c>
      <x:c r="F307" s="73" t="n">
        <x:v>1.95847761631012</x:v>
      </x:c>
      <x:c r="G307" s="48" t="n">
        <x:v>0</x:v>
      </x:c>
      <x:c r="H307" s="50" t="n">
        <x:v>0.2070434093475341</x:v>
      </x:c>
      <x:c r="I307" s="48" t="n">
        <x:v>0</x:v>
      </x:c>
    </x:row>
    <x:row r="308">
      <x:c r="A308" s="48" t="str">
        <x:v>CT0567_A1_003</x:v>
      </x:c>
      <x:c r="B308" s="48" t="str">
        <x:v>CT0567</x:v>
      </x:c>
      <x:c r="C308" s="48" t="str">
        <x:v>Ofatumumab</x:v>
      </x:c>
      <x:c r="D308" s="73" t="n">
        <x:v>0</x:v>
      </x:c>
      <x:c r="E308" s="73" t="n">
        <x:v>1.940526247024536</x:v>
      </x:c>
      <x:c r="F308" s="73" t="n">
        <x:v>1.940526247024536</x:v>
      </x:c>
      <x:c r="G308" s="48" t="n">
        <x:v>0</x:v>
      </x:c>
      <x:c r="H308" s="50" t="n">
        <x:v>0.2072554379701614</x:v>
      </x:c>
      <x:c r="I308" s="48" t="n">
        <x:v>0</x:v>
      </x:c>
    </x:row>
    <x:row r="309">
      <x:c r="A309" s="48" t="str">
        <x:v>CT0567_A1_004</x:v>
      </x:c>
      <x:c r="B309" s="48" t="str">
        <x:v>CT0567</x:v>
      </x:c>
      <x:c r="C309" s="48" t="str">
        <x:v>Ofatumumab</x:v>
      </x:c>
      <x:c r="D309" s="73" t="n">
        <x:v>0.8</x:v>
      </x:c>
      <x:c r="E309" s="73" t="n">
        <x:v>2.120645523071289</x:v>
      </x:c>
      <x:c r="F309" s="73" t="n">
        <x:v>2.120645523071289</x:v>
      </x:c>
      <x:c r="G309" s="48" t="n">
        <x:v>0</x:v>
      </x:c>
      <x:c r="H309" s="50" t="n">
        <x:v>0.2143859416246414</x:v>
      </x:c>
      <x:c r="I309" s="48" t="n">
        <x:v>0</x:v>
      </x:c>
    </x:row>
    <x:row r="310">
      <x:c r="A310" s="48" t="str">
        <x:v>CT0567_A1_005</x:v>
      </x:c>
      <x:c r="B310" s="48" t="str">
        <x:v>CT0567</x:v>
      </x:c>
      <x:c r="C310" s="48" t="str">
        <x:v>Ofatumumab</x:v>
      </x:c>
      <x:c r="D310" s="73" t="n">
        <x:v>0.8</x:v>
      </x:c>
      <x:c r="E310" s="73" t="n">
        <x:v>3.233635425567627</x:v>
      </x:c>
      <x:c r="F310" s="73" t="n">
        <x:v>3.233635425567627</x:v>
      </x:c>
      <x:c r="G310" s="48" t="n">
        <x:v>0</x:v>
      </x:c>
      <x:c r="H310" s="50" t="n">
        <x:v>0.2669419646263122</x:v>
      </x:c>
      <x:c r="I310" s="48" t="n">
        <x:v>0</x:v>
      </x:c>
    </x:row>
    <x:row r="311">
      <x:c r="A311" s="48" t="str">
        <x:v>CT0567_A2_002</x:v>
      </x:c>
      <x:c r="B311" s="48" t="str">
        <x:v>CT0567</x:v>
      </x:c>
      <x:c r="C311" s="48" t="str">
        <x:v>Ofatumumab</x:v>
      </x:c>
      <x:c r="D311" s="73" t="n">
        <x:v>0</x:v>
      </x:c>
      <x:c r="E311" s="73" t="n">
        <x:v>1.9706976413726809</x:v>
      </x:c>
      <x:c r="F311" s="73" t="n">
        <x:v>1.9706976413726809</x:v>
      </x:c>
      <x:c r="G311" s="48" t="n">
        <x:v>0</x:v>
      </x:c>
      <x:c r="H311" s="50" t="n">
        <x:v>0.2054693549871444</x:v>
      </x:c>
      <x:c r="I311" s="48" t="n">
        <x:v>0</x:v>
      </x:c>
    </x:row>
    <x:row r="312">
      <x:c r="A312" s="48" t="str">
        <x:v>CT0567_A2_003</x:v>
      </x:c>
      <x:c r="B312" s="48" t="str">
        <x:v>CT0567</x:v>
      </x:c>
      <x:c r="C312" s="48" t="str">
        <x:v>Ofatumumab</x:v>
      </x:c>
      <x:c r="D312" s="73" t="n">
        <x:v>0.8</x:v>
      </x:c>
      <x:c r="E312" s="73" t="n">
        <x:v>2.037763833999634</x:v>
      </x:c>
      <x:c r="F312" s="73" t="n">
        <x:v>2.037763833999634</x:v>
      </x:c>
      <x:c r="G312" s="48" t="n">
        <x:v>0</x:v>
      </x:c>
      <x:c r="H312" s="50" t="n">
        <x:v>0.2108290344476699</x:v>
      </x:c>
      <x:c r="I312" s="48" t="n">
        <x:v>0</x:v>
      </x:c>
    </x:row>
    <x:row r="313">
      <x:c r="A313" s="48" t="str">
        <x:v>CT0567_A2_004</x:v>
      </x:c>
      <x:c r="B313" s="48" t="str">
        <x:v>CT0567</x:v>
      </x:c>
      <x:c r="C313" s="48" t="str">
        <x:v>Ofatumumab</x:v>
      </x:c>
      <x:c r="D313" s="73" t="n">
        <x:v>0</x:v>
      </x:c>
      <x:c r="E313" s="73" t="n">
        <x:v>2.0881617069244385</x:v>
      </x:c>
      <x:c r="F313" s="73" t="n">
        <x:v>2.0881617069244385</x:v>
      </x:c>
      <x:c r="G313" s="48" t="n">
        <x:v>0</x:v>
      </x:c>
      <x:c r="H313" s="50" t="n">
        <x:v>0.2125579863786697</x:v>
      </x:c>
      <x:c r="I313" s="48" t="n">
        <x:v>0</x:v>
      </x:c>
    </x:row>
    <x:row r="314">
      <x:c r="A314" s="48" t="str">
        <x:v>CT0567_A2_005</x:v>
      </x:c>
      <x:c r="B314" s="48" t="str">
        <x:v>CT0567</x:v>
      </x:c>
      <x:c r="C314" s="48" t="str">
        <x:v>Ofatumumab</x:v>
      </x:c>
      <x:c r="D314" s="73" t="n">
        <x:v>3.8</x:v>
      </x:c>
      <x:c r="E314" s="73" t="n">
        <x:v>3.1345858573913574</x:v>
      </x:c>
      <x:c r="F314" s="73" t="n">
        <x:v>3.1345858573913574</x:v>
      </x:c>
      <x:c r="G314" s="48" t="n">
        <x:v>0</x:v>
      </x:c>
      <x:c r="H314" s="50" t="n">
        <x:v>0.2675664722919464</x:v>
      </x:c>
      <x:c r="I314" s="48" t="n">
        <x:v>0</x:v>
      </x:c>
    </x:row>
    <x:row r="315">
      <x:c r="A315" s="48" t="str">
        <x:v>CT0567_A3_002</x:v>
      </x:c>
      <x:c r="B315" s="48" t="str">
        <x:v>CT0567</x:v>
      </x:c>
      <x:c r="C315" s="48" t="str">
        <x:v>Ofatumumab</x:v>
      </x:c>
      <x:c r="D315" s="73" t="n">
        <x:v>0</x:v>
      </x:c>
      <x:c r="E315" s="73" t="n">
        <x:v>2.112581253051758</x:v>
      </x:c>
      <x:c r="F315" s="73" t="n">
        <x:v>2.112581253051758</x:v>
      </x:c>
      <x:c r="G315" s="48" t="n">
        <x:v>0</x:v>
      </x:c>
      <x:c r="H315" s="50" t="n">
        <x:v>0.1099690645933151</x:v>
      </x:c>
      <x:c r="I315" s="48" t="n">
        <x:v>0</x:v>
      </x:c>
    </x:row>
    <x:row r="316">
      <x:c r="A316" s="48" t="str">
        <x:v>CT0567_A3_003</x:v>
      </x:c>
      <x:c r="B316" s="48" t="str">
        <x:v>CT0567</x:v>
      </x:c>
      <x:c r="C316" s="48" t="str">
        <x:v>Ofatumumab</x:v>
      </x:c>
      <x:c r="D316" s="73" t="n">
        <x:v>0</x:v>
      </x:c>
      <x:c r="E316" s="73" t="n">
        <x:v>1.8278071880340576</x:v>
      </x:c>
      <x:c r="F316" s="73" t="n">
        <x:v>1.8278071880340576</x:v>
      </x:c>
      <x:c r="G316" s="48" t="n">
        <x:v>0</x:v>
      </x:c>
      <x:c r="H316" s="50" t="n">
        <x:v>0.1139884069561958</x:v>
      </x:c>
      <x:c r="I316" s="48" t="n">
        <x:v>0</x:v>
      </x:c>
    </x:row>
    <x:row r="317">
      <x:c r="A317" s="48" t="str">
        <x:v>CT0567_A3_004</x:v>
      </x:c>
      <x:c r="B317" s="48" t="str">
        <x:v>CT0567</x:v>
      </x:c>
      <x:c r="C317" s="48" t="str">
        <x:v>Ofatumumab</x:v>
      </x:c>
      <x:c r="D317" s="73" t="n">
        <x:v>0</x:v>
      </x:c>
      <x:c r="E317" s="73" t="n">
        <x:v>1.9777345657348635</x:v>
      </x:c>
      <x:c r="F317" s="73" t="n">
        <x:v>1.9777345657348635</x:v>
      </x:c>
      <x:c r="G317" s="48" t="n">
        <x:v>0</x:v>
      </x:c>
      <x:c r="H317" s="50" t="n">
        <x:v>0.1183332353830337</x:v>
      </x:c>
      <x:c r="I317" s="48" t="n">
        <x:v>0</x:v>
      </x:c>
    </x:row>
    <x:row r="318">
      <x:c r="A318" s="48" t="str">
        <x:v>CT0567_A3_005</x:v>
      </x:c>
      <x:c r="B318" s="48" t="str">
        <x:v>CT0567</x:v>
      </x:c>
      <x:c r="C318" s="48" t="str">
        <x:v>Ofatumumab</x:v>
      </x:c>
      <x:c r="D318" s="73" t="n">
        <x:v>0</x:v>
      </x:c>
      <x:c r="E318" s="73" t="n">
        <x:v>3.2046315670013428</x:v>
      </x:c>
      <x:c r="F318" s="73" t="n">
        <x:v>3.2046315670013428</x:v>
      </x:c>
      <x:c r="G318" s="48" t="n">
        <x:v>0</x:v>
      </x:c>
      <x:c r="H318" s="50" t="n">
        <x:v>0.1711316853761673</x:v>
      </x:c>
      <x:c r="I318" s="48" t="n">
        <x:v>0</x:v>
      </x:c>
    </x:row>
    <x:row r="319">
      <x:c r="A319" s="48" t="str">
        <x:v>CT0567_A4_002</x:v>
      </x:c>
      <x:c r="B319" s="48" t="str">
        <x:v>CT0567</x:v>
      </x:c>
      <x:c r="C319" s="48" t="str">
        <x:v>Ofatumumab</x:v>
      </x:c>
      <x:c r="D319" s="73" t="n">
        <x:v>0</x:v>
      </x:c>
      <x:c r="E319" s="73" t="n">
        <x:v>2.112581253051758</x:v>
      </x:c>
      <x:c r="F319" s="73" t="n">
        <x:v>2.112581253051758</x:v>
      </x:c>
      <x:c r="G319" s="48" t="n">
        <x:v>0</x:v>
      </x:c>
      <x:c r="H319" s="50" t="n">
        <x:v>0.1099690645933151</x:v>
      </x:c>
      <x:c r="I319" s="48" t="n">
        <x:v>0</x:v>
      </x:c>
    </x:row>
    <x:row r="320">
      <x:c r="A320" s="48" t="str">
        <x:v>CT0567_A4_003</x:v>
      </x:c>
      <x:c r="B320" s="48" t="str">
        <x:v>CT0567</x:v>
      </x:c>
      <x:c r="C320" s="48" t="str">
        <x:v>Ofatumumab</x:v>
      </x:c>
      <x:c r="D320" s="73" t="n">
        <x:v>0</x:v>
      </x:c>
      <x:c r="E320" s="73" t="n">
        <x:v>1.8278071880340576</x:v>
      </x:c>
      <x:c r="F320" s="73" t="n">
        <x:v>1.8278071880340576</x:v>
      </x:c>
      <x:c r="G320" s="48" t="n">
        <x:v>0</x:v>
      </x:c>
      <x:c r="H320" s="50" t="n">
        <x:v>0.1139884069561958</x:v>
      </x:c>
      <x:c r="I320" s="48" t="n">
        <x:v>0</x:v>
      </x:c>
    </x:row>
    <x:row r="321">
      <x:c r="A321" s="48" t="str">
        <x:v>CT0567_A4_004</x:v>
      </x:c>
      <x:c r="B321" s="48" t="str">
        <x:v>CT0567</x:v>
      </x:c>
      <x:c r="C321" s="48" t="str">
        <x:v>Ofatumumab</x:v>
      </x:c>
      <x:c r="D321" s="73" t="n">
        <x:v>0</x:v>
      </x:c>
      <x:c r="E321" s="73" t="n">
        <x:v>1.8855547904968264</x:v>
      </x:c>
      <x:c r="F321" s="73" t="n">
        <x:v>1.8855547904968264</x:v>
      </x:c>
      <x:c r="G321" s="48" t="n">
        <x:v>0</x:v>
      </x:c>
      <x:c r="H321" s="50" t="n">
        <x:v>0.1187236830592155</x:v>
      </x:c>
      <x:c r="I321" s="48" t="n">
        <x:v>0</x:v>
      </x:c>
    </x:row>
    <x:row r="322">
      <x:c r="A322" s="48" t="str">
        <x:v>CT0567_A4_005</x:v>
      </x:c>
      <x:c r="B322" s="48" t="str">
        <x:v>CT0567</x:v>
      </x:c>
      <x:c r="C322" s="48" t="str">
        <x:v>Ofatumumab</x:v>
      </x:c>
      <x:c r="D322" s="73" t="n">
        <x:v>7.7</x:v>
      </x:c>
      <x:c r="E322" s="73" t="n">
        <x:v>3.2046315670013428</x:v>
      </x:c>
      <x:c r="F322" s="73" t="n">
        <x:v>3.2046315670013428</x:v>
      </x:c>
      <x:c r="G322" s="48" t="n">
        <x:v>0</x:v>
      </x:c>
      <x:c r="H322" s="50" t="n">
        <x:v>0.1711316853761673</x:v>
      </x:c>
      <x:c r="I322" s="48" t="n">
        <x:v>0</x:v>
      </x:c>
    </x:row>
    <x:row r="323">
      <x:c r="A323" s="48" t="str">
        <x:v>CT0570_A3_001</x:v>
      </x:c>
      <x:c r="B323" s="48" t="str">
        <x:v>CT0570</x:v>
      </x:c>
      <x:c r="C323" s="48" t="str">
        <x:v>Sarilumab</x:v>
      </x:c>
      <x:c r="D323" s="73" t="n">
        <x:v>7.1</x:v>
      </x:c>
      <x:c r="E323" s="73" t="n">
        <x:v>7.309574604034424</x:v>
      </x:c>
      <x:c r="F323" s="73" t="n">
        <x:v>7.309574604034424</x:v>
      </x:c>
      <x:c r="G323" s="48" t="n">
        <x:v>0</x:v>
      </x:c>
      <x:c r="H323" s="50" t="n">
        <x:v>0.2323729991912841</x:v>
      </x:c>
      <x:c r="I323" s="48" t="n">
        <x:v>0</x:v>
      </x:c>
    </x:row>
    <x:row r="324">
      <x:c r="A324" s="48" t="str">
        <x:v>CT0570_A4_001</x:v>
      </x:c>
      <x:c r="B324" s="48" t="str">
        <x:v>CT0570</x:v>
      </x:c>
      <x:c r="C324" s="48" t="str">
        <x:v>Sarilumab</x:v>
      </x:c>
      <x:c r="D324" s="73" t="n">
        <x:v>0</x:v>
      </x:c>
      <x:c r="E324" s="73" t="n">
        <x:v>6.5949578285217285</x:v>
      </x:c>
      <x:c r="F324" s="73" t="n">
        <x:v>6.5949578285217285</x:v>
      </x:c>
      <x:c r="G324" s="48" t="n">
        <x:v>0</x:v>
      </x:c>
      <x:c r="H324" s="50" t="n">
        <x:v>0.2096675038337707</x:v>
      </x:c>
      <x:c r="I324" s="48" t="n">
        <x:v>0</x:v>
      </x:c>
    </x:row>
    <x:row r="325">
      <x:c r="A325" s="48" t="str">
        <x:v>CT0575_A1_001</x:v>
      </x:c>
      <x:c r="B325" s="48" t="str">
        <x:v>CT0575</x:v>
      </x:c>
      <x:c r="C325" s="48" t="str">
        <x:v>Isatuximab</x:v>
      </x:c>
      <x:c r="D325" s="73" t="n">
        <x:v>8</x:v>
      </x:c>
      <x:c r="E325" s="73" t="n">
        <x:v>2.2312917709350586</x:v>
      </x:c>
      <x:c r="F325" s="73" t="n">
        <x:v>2.2312917709350586</x:v>
      </x:c>
      <x:c r="G325" s="48" t="n">
        <x:v>0</x:v>
      </x:c>
      <x:c r="H325" s="50" t="n">
        <x:v>0.0924500077962875</x:v>
      </x:c>
      <x:c r="I325" s="48" t="n">
        <x:v>0</x:v>
      </x:c>
    </x:row>
    <x:row r="326">
      <x:c r="A326" s="48" t="str">
        <x:v>CT0575_A2_001</x:v>
      </x:c>
      <x:c r="B326" s="48" t="str">
        <x:v>CT0575</x:v>
      </x:c>
      <x:c r="C326" s="48" t="str">
        <x:v>Isatuximab</x:v>
      </x:c>
      <x:c r="D326" s="73" t="n">
        <x:v>0</x:v>
      </x:c>
      <x:c r="E326" s="73" t="n">
        <x:v>2.365492105484009</x:v>
      </x:c>
      <x:c r="F326" s="73" t="n">
        <x:v>2.365492105484009</x:v>
      </x:c>
      <x:c r="G326" s="48" t="n">
        <x:v>0</x:v>
      </x:c>
      <x:c r="H326" s="50" t="n">
        <x:v>0.093020386993885</x:v>
      </x:c>
      <x:c r="I326" s="48" t="n">
        <x:v>0</x:v>
      </x:c>
    </x:row>
    <x:row r="327">
      <x:c r="A327" s="48" t="str">
        <x:v>CT0575_A3_001</x:v>
      </x:c>
      <x:c r="B327" s="48" t="str">
        <x:v>CT0575</x:v>
      </x:c>
      <x:c r="C327" s="48" t="str">
        <x:v>Isatuximab</x:v>
      </x:c>
      <x:c r="D327" s="73" t="n">
        <x:v>5.882352941</x:v>
      </x:c>
      <x:c r="E327" s="73" t="n">
        <x:v>2.044459819793701</x:v>
      </x:c>
      <x:c r="F327" s="73" t="n">
        <x:v>2.044459819793701</x:v>
      </x:c>
      <x:c r="G327" s="48" t="n">
        <x:v>0</x:v>
      </x:c>
      <x:c r="H327" s="50" t="n">
        <x:v>0.0876662358641624</x:v>
      </x:c>
      <x:c r="I327" s="48" t="n">
        <x:v>0</x:v>
      </x:c>
    </x:row>
    <x:row r="328">
      <x:c r="A328" s="48" t="str">
        <x:v>CT0575_A4_001</x:v>
      </x:c>
      <x:c r="B328" s="48" t="str">
        <x:v>CT0575</x:v>
      </x:c>
      <x:c r="C328" s="48" t="str">
        <x:v>Isatuximab</x:v>
      </x:c>
      <x:c r="D328" s="73" t="n">
        <x:v>3.333333333</x:v>
      </x:c>
      <x:c r="E328" s="73" t="n">
        <x:v>1.7487303018569946</x:v>
      </x:c>
      <x:c r="F328" s="73" t="n">
        <x:v>1.7487303018569946</x:v>
      </x:c>
      <x:c r="G328" s="48" t="n">
        <x:v>0</x:v>
      </x:c>
      <x:c r="H328" s="50" t="n">
        <x:v>0.0875731408596038</x:v>
      </x:c>
      <x:c r="I328" s="48" t="n">
        <x:v>0</x:v>
      </x:c>
    </x:row>
    <x:row r="329">
      <x:c r="A329" s="48" t="str">
        <x:v>CT0575_A1_003</x:v>
      </x:c>
      <x:c r="B329" s="48" t="str">
        <x:v>CT0575</x:v>
      </x:c>
      <x:c r="C329" s="48" t="str">
        <x:v>Atezolizumab</x:v>
      </x:c>
      <x:c r="D329" s="73" t="n">
        <x:v>8</x:v>
      </x:c>
      <x:c r="E329" s="73" t="n">
        <x:v>3.748016119003296</x:v>
      </x:c>
      <x:c r="F329" s="73" t="n">
        <x:v>3.748016119003296</x:v>
      </x:c>
      <x:c r="G329" s="48" t="n">
        <x:v>0</x:v>
      </x:c>
      <x:c r="H329" s="50" t="n">
        <x:v>0.0909409746527671</x:v>
      </x:c>
      <x:c r="I329" s="48" t="n">
        <x:v>0</x:v>
      </x:c>
    </x:row>
    <x:row r="330">
      <x:c r="A330" s="48" t="str">
        <x:v>CT0575_A2_003</x:v>
      </x:c>
      <x:c r="B330" s="48" t="str">
        <x:v>CT0575</x:v>
      </x:c>
      <x:c r="C330" s="48" t="str">
        <x:v>Atezolizumab</x:v>
      </x:c>
      <x:c r="D330" s="73" t="n">
        <x:v>8</x:v>
      </x:c>
      <x:c r="E330" s="73" t="n">
        <x:v>3.8431665897369385</x:v>
      </x:c>
      <x:c r="F330" s="73" t="n">
        <x:v>3.8431665897369385</x:v>
      </x:c>
      <x:c r="G330" s="48" t="n">
        <x:v>0</x:v>
      </x:c>
      <x:c r="H330" s="50" t="n">
        <x:v>0.0928632020950317</x:v>
      </x:c>
      <x:c r="I330" s="48" t="n">
        <x:v>0</x:v>
      </x:c>
    </x:row>
    <x:row r="331">
      <x:c r="A331" s="48" t="str">
        <x:v>CT0575_A3_003</x:v>
      </x:c>
      <x:c r="B331" s="48" t="str">
        <x:v>CT0575</x:v>
      </x:c>
      <x:c r="C331" s="48" t="str">
        <x:v>Atezolizumab</x:v>
      </x:c>
      <x:c r="D331" s="73" t="n">
        <x:v>5.882352941</x:v>
      </x:c>
      <x:c r="E331" s="73" t="n">
        <x:v>3.6862525939941406</x:v>
      </x:c>
      <x:c r="F331" s="73" t="n">
        <x:v>3.6862525939941406</x:v>
      </x:c>
      <x:c r="G331" s="48" t="n">
        <x:v>0</x:v>
      </x:c>
      <x:c r="H331" s="50" t="n">
        <x:v>0.1017361879348754</x:v>
      </x:c>
      <x:c r="I331" s="48" t="n">
        <x:v>0</x:v>
      </x:c>
    </x:row>
    <x:row r="332">
      <x:c r="A332" s="48" t="str">
        <x:v>CT0575_A4_003</x:v>
      </x:c>
      <x:c r="B332" s="48" t="str">
        <x:v>CT0575</x:v>
      </x:c>
      <x:c r="C332" s="48" t="str">
        <x:v>Atezolizumab</x:v>
      </x:c>
      <x:c r="D332" s="73" t="n">
        <x:v>0</x:v>
      </x:c>
      <x:c r="E332" s="73" t="n">
        <x:v>3.339468002319336</x:v>
      </x:c>
      <x:c r="F332" s="73" t="n">
        <x:v>3.339468002319336</x:v>
      </x:c>
      <x:c r="G332" s="48" t="n">
        <x:v>0</x:v>
      </x:c>
      <x:c r="H332" s="50" t="n">
        <x:v>0.100868359208107</x:v>
      </x:c>
      <x:c r="I332" s="48" t="n">
        <x:v>0</x:v>
      </x:c>
    </x:row>
    <x:row r="333">
      <x:c r="A333" s="48" t="str">
        <x:v>CT0576_A1_001</x:v>
      </x:c>
      <x:c r="B333" s="48" t="str">
        <x:v>CT0576</x:v>
      </x:c>
      <x:c r="C333" s="48" t="str">
        <x:v>Avelumab</x:v>
      </x:c>
      <x:c r="D333" s="73" t="n">
        <x:v>41.4</x:v>
      </x:c>
      <x:c r="E333" s="73" t="n">
        <x:v>11.566452980041504</x:v>
      </x:c>
      <x:c r="F333" s="73" t="n">
        <x:v>11.566452980041504</x:v>
      </x:c>
      <x:c r="G333" s="48" t="n">
        <x:v>1</x:v>
      </x:c>
      <x:c r="H333" s="50" t="n">
        <x:v>0.4956784546375274</x:v>
      </x:c>
      <x:c r="I333" s="48" t="n">
        <x:v>0</x:v>
      </x:c>
    </x:row>
    <x:row r="334">
      <x:c r="A334" s="48" t="str">
        <x:v>CT0583_A1_001</x:v>
      </x:c>
      <x:c r="B334" s="48" t="str">
        <x:v>CT0583</x:v>
      </x:c>
      <x:c r="C334" s="48" t="str">
        <x:v>Durvalumab</x:v>
      </x:c>
      <x:c r="D334" s="73" t="n">
        <x:v>3.8</x:v>
      </x:c>
      <x:c r="E334" s="73" t="n">
        <x:v>5.909452438354492</x:v>
      </x:c>
      <x:c r="F334" s="73" t="n">
        <x:v>5.909452438354492</x:v>
      </x:c>
      <x:c r="G334" s="48" t="n">
        <x:v>0</x:v>
      </x:c>
      <x:c r="H334" s="50" t="n">
        <x:v>0.1755932122468948</x:v>
      </x:c>
      <x:c r="I334" s="48" t="n">
        <x:v>0</x:v>
      </x:c>
    </x:row>
    <x:row r="335">
      <x:c r="A335" s="48" t="str">
        <x:v>CT0583_A2_001</x:v>
      </x:c>
      <x:c r="B335" s="48" t="str">
        <x:v>CT0583</x:v>
      </x:c>
      <x:c r="C335" s="48" t="str">
        <x:v>Durvalumab</x:v>
      </x:c>
      <x:c r="D335" s="73" t="n">
        <x:v>3.1</x:v>
      </x:c>
      <x:c r="E335" s="73" t="n">
        <x:v>8.988672256469727</x:v>
      </x:c>
      <x:c r="F335" s="73" t="n">
        <x:v>8.988672256469727</x:v>
      </x:c>
      <x:c r="G335" s="48" t="n">
        <x:v>0</x:v>
      </x:c>
      <x:c r="H335" s="50" t="n">
        <x:v>0.1937516629695892</x:v>
      </x:c>
      <x:c r="I335" s="48" t="n">
        <x:v>0</x:v>
      </x:c>
    </x:row>
    <x:row r="336">
      <x:c r="A336" s="48" t="str">
        <x:v>CT0590_A1_001</x:v>
      </x:c>
      <x:c r="B336" s="48" t="str">
        <x:v>CT0590</x:v>
      </x:c>
      <x:c r="C336" s="48" t="str">
        <x:v>Ixekizumab</x:v>
      </x:c>
      <x:c r="D336" s="73" t="n">
        <x:v>0</x:v>
      </x:c>
      <x:c r="E336" s="73" t="n">
        <x:v>11.268579483032228</x:v>
      </x:c>
      <x:c r="F336" s="73" t="n">
        <x:v>11.268579483032228</x:v>
      </x:c>
      <x:c r="G336" s="48" t="n">
        <x:v>0</x:v>
      </x:c>
      <x:c r="H336" s="50" t="n">
        <x:v>0.3740762770175934</x:v>
      </x:c>
      <x:c r="I336" s="48" t="n">
        <x:v>0</x:v>
      </x:c>
    </x:row>
    <x:row r="337">
      <x:c r="A337" s="48" t="str">
        <x:v>CT0590_A2_001</x:v>
      </x:c>
      <x:c r="B337" s="48" t="str">
        <x:v>CT0590</x:v>
      </x:c>
      <x:c r="C337" s="48" t="str">
        <x:v>Ixekizumab</x:v>
      </x:c>
      <x:c r="D337" s="73" t="n">
        <x:v>0</x:v>
      </x:c>
      <x:c r="E337" s="73" t="n">
        <x:v>24.298051834106445</x:v>
      </x:c>
      <x:c r="F337" s="73" t="n">
        <x:v>24.298051834106445</x:v>
      </x:c>
      <x:c r="G337" s="48" t="n">
        <x:v>0</x:v>
      </x:c>
      <x:c r="H337" s="50" t="n">
        <x:v>0.5402361750602722</x:v>
      </x:c>
      <x:c r="I337" s="48" t="n">
        <x:v>1</x:v>
      </x:c>
    </x:row>
    <x:row r="338">
      <x:c r="A338" s="48" t="str">
        <x:v>CT0600_A2_001</x:v>
      </x:c>
      <x:c r="B338" s="48" t="str">
        <x:v>CT0600</x:v>
      </x:c>
      <x:c r="C338" s="48" t="str">
        <x:v>Dupilumab</x:v>
      </x:c>
      <x:c r="D338" s="73" t="n">
        <x:v>9.2</x:v>
      </x:c>
      <x:c r="E338" s="73" t="n">
        <x:v>5.342930316925049</x:v>
      </x:c>
      <x:c r="F338" s="73" t="n">
        <x:v>5.342930316925049</x:v>
      </x:c>
      <x:c r="G338" s="48" t="n">
        <x:v>0</x:v>
      </x:c>
      <x:c r="H338" s="50" t="n">
        <x:v>0.0587551556527614</x:v>
      </x:c>
      <x:c r="I338" s="48" t="n">
        <x:v>0</x:v>
      </x:c>
    </x:row>
    <x:row r="339">
      <x:c r="A339" s="48" t="str">
        <x:v>CT0414_A1_002</x:v>
      </x:c>
      <x:c r="B339" s="48" t="str">
        <x:v>CT0414</x:v>
      </x:c>
      <x:c r="C339" s="48" t="str">
        <x:v>Adalimumab</x:v>
      </x:c>
      <x:c r="D339" s="73" t="n">
        <x:v>47.3</x:v>
      </x:c>
      <x:c r="E339" s="73" t="n">
        <x:v>37.70170593261719</x:v>
      </x:c>
      <x:c r="F339" s="73" t="n">
        <x:v>37.70170593261719</x:v>
      </x:c>
      <x:c r="G339" s="48" t="n">
        <x:v>1</x:v>
      </x:c>
      <x:c r="H339" s="50" t="n">
        <x:v>0.7663635015487671</x:v>
      </x:c>
      <x:c r="I339" s="48" t="n">
        <x:v>1</x:v>
      </x:c>
    </x:row>
    <x:row r="340">
      <x:c r="A340" s="48" t="str">
        <x:v>CT0414_A4_001</x:v>
      </x:c>
      <x:c r="B340" s="48" t="str">
        <x:v>CT0414</x:v>
      </x:c>
      <x:c r="C340" s="48" t="str">
        <x:v>Adalimumab</x:v>
      </x:c>
      <x:c r="D340" s="73" t="n">
        <x:v>54.5</x:v>
      </x:c>
      <x:c r="E340" s="73" t="n">
        <x:v>14.033658981323242</x:v>
      </x:c>
      <x:c r="F340" s="73" t="n">
        <x:v>14.033658981323242</x:v>
      </x:c>
      <x:c r="G340" s="48" t="n">
        <x:v>1</x:v>
      </x:c>
      <x:c r="H340" s="50" t="n">
        <x:v>0.4195092022418976</x:v>
      </x:c>
      <x:c r="I340" s="48" t="n">
        <x:v>0</x:v>
      </x:c>
    </x:row>
    <x:row r="341">
      <x:c r="A341" s="48" t="str">
        <x:v>CT0414_A6_001</x:v>
      </x:c>
      <x:c r="B341" s="48" t="str">
        <x:v>CT0414</x:v>
      </x:c>
      <x:c r="C341" s="48" t="str">
        <x:v>Adalimumab</x:v>
      </x:c>
      <x:c r="D341" s="73" t="n">
        <x:v>45.9</x:v>
      </x:c>
      <x:c r="E341" s="73" t="n">
        <x:v>29.84270477294922</x:v>
      </x:c>
      <x:c r="F341" s="73" t="n">
        <x:v>29.84270477294922</x:v>
      </x:c>
      <x:c r="G341" s="48" t="n">
        <x:v>1</x:v>
      </x:c>
      <x:c r="H341" s="50" t="n">
        <x:v>0.651870608329773</x:v>
      </x:c>
      <x:c r="I341" s="48" t="n">
        <x:v>1</x:v>
      </x:c>
    </x:row>
    <x:row r="342">
      <x:c r="A342" s="48" t="str">
        <x:v>CT0694_A1_001</x:v>
      </x:c>
      <x:c r="B342" s="48" t="str">
        <x:v>CT0694</x:v>
      </x:c>
      <x:c r="C342" s="48" t="str">
        <x:v>Adalimumab</x:v>
      </x:c>
      <x:c r="D342" s="73" t="n">
        <x:v>18</x:v>
      </x:c>
      <x:c r="E342" s="73" t="n">
        <x:v>23.99987030029297</x:v>
      </x:c>
      <x:c r="F342" s="73" t="n">
        <x:v>23.99987030029297</x:v>
      </x:c>
      <x:c r="G342" s="48" t="n">
        <x:v>1</x:v>
      </x:c>
      <x:c r="H342" s="50" t="n">
        <x:v>0.7793211340904236</x:v>
      </x:c>
      <x:c r="I342" s="48" t="n">
        <x:v>1</x:v>
      </x:c>
    </x:row>
    <x:row r="343">
      <x:c r="A343" s="48" t="str">
        <x:v>CT0603_A1_001</x:v>
      </x:c>
      <x:c r="B343" s="48" t="str">
        <x:v>CT0603</x:v>
      </x:c>
      <x:c r="C343" s="48" t="str">
        <x:v>Bevacizumab</x:v>
      </x:c>
      <x:c r="D343" s="73" t="n">
        <x:v>0</x:v>
      </x:c>
      <x:c r="E343" s="73" t="n">
        <x:v>17.03087615966797</x:v>
      </x:c>
      <x:c r="F343" s="73" t="n">
        <x:v>17.03087615966797</x:v>
      </x:c>
      <x:c r="G343" s="48" t="n">
        <x:v>0</x:v>
      </x:c>
      <x:c r="H343" s="50" t="n">
        <x:v>0.5807576179504395</x:v>
      </x:c>
      <x:c r="I343" s="48" t="n">
        <x:v>1</x:v>
      </x:c>
    </x:row>
    <x:row r="344">
      <x:c r="A344" s="48" t="str">
        <x:v>CT0603_A2_001</x:v>
      </x:c>
      <x:c r="B344" s="48" t="str">
        <x:v>CT0603</x:v>
      </x:c>
      <x:c r="C344" s="48" t="str">
        <x:v>Bevacizumab</x:v>
      </x:c>
      <x:c r="D344" s="73" t="n">
        <x:v>4.166666667</x:v>
      </x:c>
      <x:c r="E344" s="73" t="n">
        <x:v>19.401535034179688</x:v>
      </x:c>
      <x:c r="F344" s="73" t="n">
        <x:v>19.401535034179688</x:v>
      </x:c>
      <x:c r="G344" s="48" t="n">
        <x:v>0</x:v>
      </x:c>
      <x:c r="H344" s="50" t="n">
        <x:v>0.3807550370693207</x:v>
      </x:c>
      <x:c r="I344" s="48" t="n">
        <x:v>0</x:v>
      </x:c>
    </x:row>
    <x:row r="345">
      <x:c r="A345" s="48" t="str">
        <x:v>CT0609_A1_001</x:v>
      </x:c>
      <x:c r="B345" s="48" t="str">
        <x:v>CT0609</x:v>
      </x:c>
      <x:c r="C345" s="48" t="str">
        <x:v>Tralokinumab</x:v>
      </x:c>
      <x:c r="D345" s="73" t="n">
        <x:v>0</x:v>
      </x:c>
      <x:c r="E345" s="73" t="n">
        <x:v>2.9846749305725098</x:v>
      </x:c>
      <x:c r="F345" s="73" t="n">
        <x:v>2.9846749305725098</x:v>
      </x:c>
      <x:c r="G345" s="48" t="n">
        <x:v>0</x:v>
      </x:c>
      <x:c r="H345" s="50" t="n">
        <x:v>0.0443559736013412</x:v>
      </x:c>
      <x:c r="I345" s="48" t="n">
        <x:v>0</x:v>
      </x:c>
    </x:row>
    <x:row r="346">
      <x:c r="A346" s="48" t="str">
        <x:v>CT0710_A1_002</x:v>
      </x:c>
      <x:c r="B346" s="48" t="str">
        <x:v>CT0710</x:v>
      </x:c>
      <x:c r="C346" s="48" t="str">
        <x:v>Moxetumomab pasudotox</x:v>
      </x:c>
      <x:c r="D346" s="73" t="n">
        <x:v>58</x:v>
      </x:c>
      <x:c r="E346" s="73" t="n">
        <x:v>75.26939392089844</x:v>
      </x:c>
      <x:c r="F346" s="73" t="n">
        <x:v>75.26939392089844</x:v>
      </x:c>
      <x:c r="G346" s="48" t="n">
        <x:v>1</x:v>
      </x:c>
      <x:c r="H346" s="50" t="n">
        <x:v>0.9356766939163208</x:v>
      </x:c>
      <x:c r="I346" s="48" t="n">
        <x:v>1</x:v>
      </x:c>
    </x:row>
    <x:row r="347">
      <x:c r="A347" s="48" t="str">
        <x:v>CT0710_A1_003</x:v>
      </x:c>
      <x:c r="B347" s="48" t="str">
        <x:v>CT0710</x:v>
      </x:c>
      <x:c r="C347" s="48" t="str">
        <x:v>Moxetumomab pasudotox</x:v>
      </x:c>
      <x:c r="D347" s="73" t="n">
        <x:v>61</x:v>
      </x:c>
      <x:c r="E347" s="73" t="n">
        <x:v>75.46257781982422</x:v>
      </x:c>
      <x:c r="F347" s="73" t="n">
        <x:v>75.46257781982422</x:v>
      </x:c>
      <x:c r="G347" s="48" t="n">
        <x:v>1</x:v>
      </x:c>
      <x:c r="H347" s="50" t="n">
        <x:v>0.9357938766479492</x:v>
      </x:c>
      <x:c r="I347" s="48" t="n">
        <x:v>1</x:v>
      </x:c>
    </x:row>
    <x:row r="348">
      <x:c r="A348" s="48" t="str">
        <x:v>CT0710_A1_004</x:v>
      </x:c>
      <x:c r="B348" s="48" t="str">
        <x:v>CT0710</x:v>
      </x:c>
      <x:c r="C348" s="48" t="str">
        <x:v>Moxetumomab pasudotox</x:v>
      </x:c>
      <x:c r="D348" s="73" t="n">
        <x:v>68</x:v>
      </x:c>
      <x:c r="E348" s="73" t="n">
        <x:v>75.17961120605469</x:v>
      </x:c>
      <x:c r="F348" s="73" t="n">
        <x:v>75.17961120605469</x:v>
      </x:c>
      <x:c r="G348" s="48" t="n">
        <x:v>1</x:v>
      </x:c>
      <x:c r="H348" s="50" t="n">
        <x:v>0.9267423748970032</x:v>
      </x:c>
      <x:c r="I348" s="48" t="n">
        <x:v>1</x:v>
      </x:c>
    </x:row>
    <x:row r="349">
      <x:c r="A349" s="48" t="str">
        <x:v>CT0710_A1_005</x:v>
      </x:c>
      <x:c r="B349" s="48" t="str">
        <x:v>CT0710</x:v>
      </x:c>
      <x:c r="C349" s="48" t="str">
        <x:v>Moxetumomab pasudotox</x:v>
      </x:c>
      <x:c r="D349" s="73" t="n">
        <x:v>74</x:v>
      </x:c>
      <x:c r="E349" s="73" t="n">
        <x:v>75.03314208984375</x:v>
      </x:c>
      <x:c r="F349" s="73" t="n">
        <x:v>75.03314208984375</x:v>
      </x:c>
      <x:c r="G349" s="48" t="n">
        <x:v>1</x:v>
      </x:c>
      <x:c r="H349" s="50" t="n">
        <x:v>0.920014262199402</x:v>
      </x:c>
      <x:c r="I349" s="48" t="n">
        <x:v>1</x:v>
      </x:c>
    </x:row>
    <x:row r="350">
      <x:c r="A350" s="48" t="str">
        <x:v>CT0613_A1_001</x:v>
      </x:c>
      <x:c r="B350" s="48" t="str">
        <x:v>CT0613</x:v>
      </x:c>
      <x:c r="C350" s="48" t="str">
        <x:v>Alglucosidase alfa</x:v>
      </x:c>
      <x:c r="D350" s="73" t="n">
        <x:v>78.7</x:v>
      </x:c>
      <x:c r="E350" s="73" t="n">
        <x:v>81.18202209472656</x:v>
      </x:c>
      <x:c r="F350" s="73" t="n">
        <x:v>81.18202209472656</x:v>
      </x:c>
      <x:c r="G350" s="48" t="n">
        <x:v>1</x:v>
      </x:c>
      <x:c r="H350" s="50" t="n">
        <x:v>0.8588368892669678</x:v>
      </x:c>
      <x:c r="I350" s="48" t="n">
        <x:v>1</x:v>
      </x:c>
    </x:row>
    <x:row r="351">
      <x:c r="A351" s="48" t="str">
        <x:v>CT0670_A1_002</x:v>
      </x:c>
      <x:c r="B351" s="48" t="str">
        <x:v>CT0670</x:v>
      </x:c>
      <x:c r="C351" s="48" t="str">
        <x:v>Denileukin difitox</x:v>
      </x:c>
      <x:c r="D351" s="73" t="n">
        <x:v>94</x:v>
      </x:c>
      <x:c r="E351" s="73" t="n">
        <x:v>79.48335266113281</x:v>
      </x:c>
      <x:c r="F351" s="73" t="n">
        <x:v>79.48335266113281</x:v>
      </x:c>
      <x:c r="G351" s="48" t="n">
        <x:v>1</x:v>
      </x:c>
      <x:c r="H351" s="50" t="n">
        <x:v>0.9635576605796814</x:v>
      </x:c>
      <x:c r="I351" s="48" t="n">
        <x:v>1</x:v>
      </x:c>
    </x:row>
    <x:row r="352">
      <x:c r="A352" s="48" t="str">
        <x:v>CT0670_A1_003</x:v>
      </x:c>
      <x:c r="B352" s="48" t="str">
        <x:v>CT0670</x:v>
      </x:c>
      <x:c r="C352" s="48" t="str">
        <x:v>Denileukin difitox</x:v>
      </x:c>
      <x:c r="D352" s="73" t="n">
        <x:v>99</x:v>
      </x:c>
      <x:c r="E352" s="73" t="n">
        <x:v>80.6903305053711</x:v>
      </x:c>
      <x:c r="F352" s="73" t="n">
        <x:v>80.6903305053711</x:v>
      </x:c>
      <x:c r="G352" s="48" t="n">
        <x:v>1</x:v>
      </x:c>
      <x:c r="H352" s="50" t="n">
        <x:v>0.9637198448181152</x:v>
      </x:c>
      <x:c r="I352" s="48" t="n">
        <x:v>1</x:v>
      </x:c>
    </x:row>
    <x:row r="353">
      <x:c r="A353" s="48" t="str">
        <x:v>CT0670_A1_004</x:v>
      </x:c>
      <x:c r="B353" s="48" t="str">
        <x:v>CT0670</x:v>
      </x:c>
      <x:c r="C353" s="48" t="str">
        <x:v>Denileukin difitox</x:v>
      </x:c>
      <x:c r="D353" s="73" t="n">
        <x:v>100</x:v>
      </x:c>
      <x:c r="E353" s="73" t="n">
        <x:v>81.98573303222656</x:v>
      </x:c>
      <x:c r="F353" s="73" t="n">
        <x:v>81.98573303222656</x:v>
      </x:c>
      <x:c r="G353" s="48" t="n">
        <x:v>1</x:v>
      </x:c>
      <x:c r="H353" s="50" t="n">
        <x:v>0.9616800546646118</x:v>
      </x:c>
      <x:c r="I353" s="48" t="n">
        <x:v>1</x:v>
      </x:c>
    </x:row>
    <x:row r="354">
      <x:c r="A354" s="48" t="str">
        <x:v>CT0623_A1_001</x:v>
      </x:c>
      <x:c r="B354" s="48" t="str">
        <x:v>CT0623</x:v>
      </x:c>
      <x:c r="C354" s="48" t="str">
        <x:v>Evolocumab</x:v>
      </x:c>
      <x:c r="D354" s="73" t="n">
        <x:v>0</x:v>
      </x:c>
      <x:c r="E354" s="73" t="n">
        <x:v>0.2209188789129257</x:v>
      </x:c>
      <x:c r="F354" s="73" t="n">
        <x:v>0.2209188789129257</x:v>
      </x:c>
      <x:c r="G354" s="48" t="n">
        <x:v>0</x:v>
      </x:c>
      <x:c r="H354" s="50" t="n">
        <x:v>0.0143852662295103</x:v>
      </x:c>
      <x:c r="I354" s="48" t="n">
        <x:v>0</x:v>
      </x:c>
    </x:row>
    <x:row r="355">
      <x:c r="A355" s="48" t="str">
        <x:v>CT0623_A2_001</x:v>
      </x:c>
      <x:c r="B355" s="48" t="str">
        <x:v>CT0623</x:v>
      </x:c>
      <x:c r="C355" s="48" t="str">
        <x:v>Evolocumab</x:v>
      </x:c>
      <x:c r="D355" s="73" t="n">
        <x:v>0</x:v>
      </x:c>
      <x:c r="E355" s="73" t="n">
        <x:v>0.1714654862880706</x:v>
      </x:c>
      <x:c r="F355" s="73" t="n">
        <x:v>0.1714654862880706</x:v>
      </x:c>
      <x:c r="G355" s="48" t="n">
        <x:v>0</x:v>
      </x:c>
      <x:c r="H355" s="50" t="n">
        <x:v>0.0121855866163969</x:v>
      </x:c>
      <x:c r="I355" s="48" t="n">
        <x:v>0</x:v>
      </x:c>
    </x:row>
    <x:row r="356">
      <x:c r="A356" s="48" t="str">
        <x:v>CT0636_A1_001</x:v>
      </x:c>
      <x:c r="B356" s="48" t="str">
        <x:v>CT0636</x:v>
      </x:c>
      <x:c r="C356" s="48" t="str">
        <x:v>Pembrolizumab</x:v>
      </x:c>
      <x:c r="D356" s="73" t="n">
        <x:v>0.7</x:v>
      </x:c>
      <x:c r="E356" s="73" t="n">
        <x:v>7.11236572265625</x:v>
      </x:c>
      <x:c r="F356" s="73" t="n">
        <x:v>7.11236572265625</x:v>
      </x:c>
      <x:c r="G356" s="48" t="n">
        <x:v>0</x:v>
      </x:c>
      <x:c r="H356" s="50" t="n">
        <x:v>0.2260823249816894</x:v>
      </x:c>
      <x:c r="I356" s="48" t="n">
        <x:v>0</x:v>
      </x:c>
    </x:row>
    <x:row r="357">
      <x:c r="A357" s="48" t="str">
        <x:v>CT0683_A1_001</x:v>
      </x:c>
      <x:c r="B357" s="48" t="str">
        <x:v>CT0683</x:v>
      </x:c>
      <x:c r="C357" s="48" t="str">
        <x:v>Dupilumab</x:v>
      </x:c>
      <x:c r="D357" s="73" t="n">
        <x:v>5</x:v>
      </x:c>
      <x:c r="E357" s="73" t="n">
        <x:v>6.357877731323242</x:v>
      </x:c>
      <x:c r="F357" s="73" t="n">
        <x:v>6.357877731323242</x:v>
      </x:c>
      <x:c r="G357" s="48" t="n">
        <x:v>0</x:v>
      </x:c>
      <x:c r="H357" s="50" t="n">
        <x:v>0.1033794730901718</x:v>
      </x:c>
      <x:c r="I357" s="48" t="n">
        <x:v>0</x:v>
      </x:c>
    </x:row>
    <x:row r="358">
      <x:c r="A358" s="48" t="str">
        <x:v>CT0683_A2_001</x:v>
      </x:c>
      <x:c r="B358" s="48" t="str">
        <x:v>CT0683</x:v>
      </x:c>
      <x:c r="C358" s="48" t="str">
        <x:v>Dupilumab</x:v>
      </x:c>
      <x:c r="D358" s="73" t="n">
        <x:v>9</x:v>
      </x:c>
      <x:c r="E358" s="73" t="n">
        <x:v>4.420948505401611</x:v>
      </x:c>
      <x:c r="F358" s="73" t="n">
        <x:v>4.420948505401611</x:v>
      </x:c>
      <x:c r="G358" s="48" t="n">
        <x:v>0</x:v>
      </x:c>
      <x:c r="H358" s="50" t="n">
        <x:v>0.0913156419992446</x:v>
      </x:c>
      <x:c r="I358" s="48" t="n">
        <x:v>0</x:v>
      </x:c>
    </x:row>
    <x:row r="359">
      <x:c r="A359" s="48" t="str">
        <x:v>CT0683_A3_001</x:v>
      </x:c>
      <x:c r="B359" s="48" t="str">
        <x:v>CT0683</x:v>
      </x:c>
      <x:c r="C359" s="48" t="str">
        <x:v>Dupilumab</x:v>
      </x:c>
      <x:c r="D359" s="73" t="n">
        <x:v>16</x:v>
      </x:c>
      <x:c r="E359" s="73" t="n">
        <x:v>7.379000186920166</x:v>
      </x:c>
      <x:c r="F359" s="73" t="n">
        <x:v>7.379000186920166</x:v>
      </x:c>
      <x:c r="G359" s="48" t="n">
        <x:v>1</x:v>
      </x:c>
      <x:c r="H359" s="50" t="n">
        <x:v>0.219833567738533</x:v>
      </x:c>
      <x:c r="I359" s="48" t="n">
        <x:v>0</x:v>
      </x:c>
    </x:row>
    <x:row r="360">
      <x:c r="A360" s="48" t="str">
        <x:v>CT0650_A1_001</x:v>
      </x:c>
      <x:c r="B360" s="48" t="str">
        <x:v>CT0650</x:v>
      </x:c>
      <x:c r="C360" s="48" t="str">
        <x:v>Trastuzumab emtansine</x:v>
      </x:c>
      <x:c r="D360" s="73" t="n">
        <x:v>0</x:v>
      </x:c>
      <x:c r="E360" s="73" t="n">
        <x:v>2.599692344665528</x:v>
      </x:c>
      <x:c r="F360" s="73" t="n">
        <x:v>2.599692344665528</x:v>
      </x:c>
      <x:c r="G360" s="48" t="n">
        <x:v>0</x:v>
      </x:c>
      <x:c r="H360" s="50" t="n">
        <x:v>0.092018187046051</x:v>
      </x:c>
      <x:c r="I360" s="48" t="n">
        <x:v>0</x:v>
      </x:c>
    </x:row>
    <x:row r="361">
      <x:c r="A361" s="48" t="str">
        <x:v>CT0652_A1_001</x:v>
      </x:c>
      <x:c r="B361" s="48" t="str">
        <x:v>CT0652</x:v>
      </x:c>
      <x:c r="C361" s="48" t="str">
        <x:v>Brentuximab vedotin</x:v>
      </x:c>
      <x:c r="D361" s="73" t="n">
        <x:v>38.70967741935484</x:v>
      </x:c>
      <x:c r="E361" s="73" t="n">
        <x:v>3.7865548133850098</x:v>
      </x:c>
      <x:c r="F361" s="73" t="n">
        <x:v>3.7865548133850098</x:v>
      </x:c>
      <x:c r="G361" s="48" t="n">
        <x:v>1</x:v>
      </x:c>
      <x:c r="H361" s="50" t="n">
        <x:v>0.353381872177124</x:v>
      </x:c>
      <x:c r="I361" s="48" t="n">
        <x:v>0</x:v>
      </x:c>
    </x:row>
    <x:row r="362">
      <x:c r="A362" s="48" t="str">
        <x:v>CT0652_A2_001</x:v>
      </x:c>
      <x:c r="B362" s="48" t="str">
        <x:v>CT0652</x:v>
      </x:c>
      <x:c r="C362" s="48" t="str">
        <x:v>Brentuximab vedotin</x:v>
      </x:c>
      <x:c r="D362" s="73" t="n">
        <x:v>19.23076923076923</x:v>
      </x:c>
      <x:c r="E362" s="73" t="n">
        <x:v>4.259797096252441</x:v>
      </x:c>
      <x:c r="F362" s="73" t="n">
        <x:v>4.259797096252441</x:v>
      </x:c>
      <x:c r="G362" s="48" t="n">
        <x:v>1</x:v>
      </x:c>
      <x:c r="H362" s="50" t="n">
        <x:v>0.3916890621185303</x:v>
      </x:c>
      <x:c r="I362" s="48" t="n">
        <x:v>0</x:v>
      </x:c>
    </x:row>
    <x:row r="363">
      <x:c r="A363" s="48" t="str">
        <x:v>CT0684_A1_001</x:v>
      </x:c>
      <x:c r="B363" s="48" t="str">
        <x:v>CT0684</x:v>
      </x:c>
      <x:c r="C363" s="48" t="str">
        <x:v>Infliximab</x:v>
      </x:c>
      <x:c r="D363" s="73" t="n">
        <x:v>5.4</x:v>
      </x:c>
      <x:c r="E363" s="73" t="n">
        <x:v>24.035066604614254</x:v>
      </x:c>
      <x:c r="F363" s="73" t="n">
        <x:v>24.035066604614254</x:v>
      </x:c>
      <x:c r="G363" s="48" t="n">
        <x:v>0</x:v>
      </x:c>
      <x:c r="H363" s="50" t="n">
        <x:v>0.9681368470191956</x:v>
      </x:c>
      <x:c r="I363" s="48" t="n">
        <x:v>1</x:v>
      </x:c>
    </x:row>
    <x:row r="364">
      <x:c r="A364" s="48" t="str">
        <x:v>CT0754_A1_001</x:v>
      </x:c>
      <x:c r="B364" s="48" t="str">
        <x:v>CT0754</x:v>
      </x:c>
      <x:c r="C364" s="48" t="str">
        <x:v>Infliximab</x:v>
      </x:c>
      <x:c r="D364" s="73" t="n">
        <x:v>0.9</x:v>
      </x:c>
      <x:c r="E364" s="73" t="n">
        <x:v>14.089231491088867</x:v>
      </x:c>
      <x:c r="F364" s="73" t="n">
        <x:v>14.089231491088867</x:v>
      </x:c>
      <x:c r="G364" s="48" t="n">
        <x:v>0</x:v>
      </x:c>
      <x:c r="H364" s="50" t="n">
        <x:v>0.8676268458366394</x:v>
      </x:c>
      <x:c r="I364" s="48" t="n">
        <x:v>1</x:v>
      </x:c>
    </x:row>
    <x:row r="365">
      <x:c r="A365" s="48" t="str">
        <x:v>CT0754_A2_001</x:v>
      </x:c>
      <x:c r="B365" s="48" t="str">
        <x:v>CT0754</x:v>
      </x:c>
      <x:c r="C365" s="48" t="str">
        <x:v>Infliximab</x:v>
      </x:c>
      <x:c r="D365" s="73" t="n">
        <x:v>14.6</x:v>
      </x:c>
      <x:c r="E365" s="73" t="n">
        <x:v>25.88312339782715</x:v>
      </x:c>
      <x:c r="F365" s="73" t="n">
        <x:v>25.88312339782715</x:v>
      </x:c>
      <x:c r="G365" s="48" t="n">
        <x:v>1</x:v>
      </x:c>
      <x:c r="H365" s="50" t="n">
        <x:v>0.9605604410171508</x:v>
      </x:c>
      <x:c r="I365" s="48" t="n">
        <x:v>1</x:v>
      </x:c>
    </x:row>
    <x:row r="366">
      <x:c r="A366" s="48" t="str">
        <x:v>CT0343_A1_002</x:v>
      </x:c>
      <x:c r="B366" s="48" t="str">
        <x:v>CT0343</x:v>
      </x:c>
      <x:c r="C366" s="48" t="str">
        <x:v>Adalimumab</x:v>
      </x:c>
      <x:c r="D366" s="73" t="n">
        <x:v>21.8</x:v>
      </x:c>
      <x:c r="E366" s="73" t="n">
        <x:v>46.662296295166016</x:v>
      </x:c>
      <x:c r="F366" s="73" t="n">
        <x:v>46.662296295166016</x:v>
      </x:c>
      <x:c r="G366" s="48" t="n">
        <x:v>1</x:v>
      </x:c>
      <x:c r="H366" s="50" t="n">
        <x:v>0.7252368927001953</x:v>
      </x:c>
      <x:c r="I366" s="48" t="n">
        <x:v>1</x:v>
      </x:c>
    </x:row>
    <x:row r="367">
      <x:c r="A367" s="48" t="str">
        <x:v>CT0343_A2_002</x:v>
      </x:c>
      <x:c r="B367" s="48" t="str">
        <x:v>CT0343</x:v>
      </x:c>
      <x:c r="C367" s="48" t="str">
        <x:v>Adalimumab</x:v>
      </x:c>
      <x:c r="D367" s="73" t="n">
        <x:v>14.8</x:v>
      </x:c>
      <x:c r="E367" s="73" t="n">
        <x:v>47.201637268066406</x:v>
      </x:c>
      <x:c r="F367" s="73" t="n">
        <x:v>47.201637268066406</x:v>
      </x:c>
      <x:c r="G367" s="48" t="n">
        <x:v>1</x:v>
      </x:c>
      <x:c r="H367" s="50" t="n">
        <x:v>0.7304495573043823</x:v>
      </x:c>
      <x:c r="I367" s="48" t="n">
        <x:v>1</x:v>
      </x:c>
    </x:row>
    <x:row r="368">
      <x:c r="A368" s="48" t="str">
        <x:v>CT0414_A2_001</x:v>
      </x:c>
      <x:c r="B368" s="48" t="str">
        <x:v>CT0414</x:v>
      </x:c>
      <x:c r="C368" s="48" t="str">
        <x:v>Adalimumab</x:v>
      </x:c>
      <x:c r="D368" s="73" t="n">
        <x:v>46.5</x:v>
      </x:c>
      <x:c r="E368" s="73" t="n">
        <x:v>37.1871337890625</x:v>
      </x:c>
      <x:c r="F368" s="73" t="n">
        <x:v>37.1871337890625</x:v>
      </x:c>
      <x:c r="G368" s="48" t="n">
        <x:v>1</x:v>
      </x:c>
      <x:c r="H368" s="50" t="n">
        <x:v>0.7278806567192078</x:v>
      </x:c>
      <x:c r="I368" s="48" t="n">
        <x:v>1</x:v>
      </x:c>
    </x:row>
    <x:row r="369">
      <x:c r="A369" s="48" t="str">
        <x:v>CT0414_A5_001</x:v>
      </x:c>
      <x:c r="B369" s="48" t="str">
        <x:v>CT0414</x:v>
      </x:c>
      <x:c r="C369" s="48" t="str">
        <x:v>Adalimumab</x:v>
      </x:c>
      <x:c r="D369" s="73" t="n">
        <x:v>54.2</x:v>
      </x:c>
      <x:c r="E369" s="73" t="n">
        <x:v>33.790096282958984</x:v>
      </x:c>
      <x:c r="F369" s="73" t="n">
        <x:v>33.790096282958984</x:v>
      </x:c>
      <x:c r="G369" s="48" t="n">
        <x:v>1</x:v>
      </x:c>
      <x:c r="H369" s="50" t="n">
        <x:v>0.6654883623123169</x:v>
      </x:c>
      <x:c r="I369" s="48" t="n">
        <x:v>1</x:v>
      </x:c>
    </x:row>
    <x:row r="370">
      <x:c r="A370" s="48" t="str">
        <x:v>CT0414_A7_001</x:v>
      </x:c>
      <x:c r="B370" s="48" t="str">
        <x:v>CT0414</x:v>
      </x:c>
      <x:c r="C370" s="48" t="str">
        <x:v>Adalimumab</x:v>
      </x:c>
      <x:c r="D370" s="73" t="n">
        <x:v>46.8</x:v>
      </x:c>
      <x:c r="E370" s="73" t="n">
        <x:v>29.91173553466797</x:v>
      </x:c>
      <x:c r="F370" s="73" t="n">
        <x:v>29.91173553466797</x:v>
      </x:c>
      <x:c r="G370" s="48" t="n">
        <x:v>1</x:v>
      </x:c>
      <x:c r="H370" s="50" t="n">
        <x:v>0.6380070447921753</x:v>
      </x:c>
      <x:c r="I370" s="48" t="n">
        <x:v>1</x:v>
      </x:c>
    </x:row>
    <x:row r="371">
      <x:c r="A371" s="48" t="str">
        <x:v>CT0394_A2_001</x:v>
      </x:c>
      <x:c r="B371" s="48" t="str">
        <x:v>CT0394</x:v>
      </x:c>
      <x:c r="C371" s="48" t="str">
        <x:v>Adalimumab</x:v>
      </x:c>
      <x:c r="D371" s="73" t="n">
        <x:v>52.6</x:v>
      </x:c>
      <x:c r="E371" s="73" t="n">
        <x:v>54.44804382324219</x:v>
      </x:c>
      <x:c r="F371" s="73" t="n">
        <x:v>54.44804382324219</x:v>
      </x:c>
      <x:c r="G371" s="48" t="n">
        <x:v>1</x:v>
      </x:c>
      <x:c r="H371" s="50" t="n">
        <x:v>0.818763017654419</x:v>
      </x:c>
      <x:c r="I371" s="48" t="n">
        <x:v>1</x:v>
      </x:c>
    </x:row>
    <x:row r="372">
      <x:c r="A372" s="48" t="str">
        <x:v>CT0394_A4_001</x:v>
      </x:c>
      <x:c r="B372" s="48" t="str">
        <x:v>CT0394</x:v>
      </x:c>
      <x:c r="C372" s="48" t="str">
        <x:v>Adalimumab</x:v>
      </x:c>
      <x:c r="D372" s="73" t="n">
        <x:v>55.2</x:v>
      </x:c>
      <x:c r="E372" s="73" t="n">
        <x:v>52.31120300292969</x:v>
      </x:c>
      <x:c r="F372" s="73" t="n">
        <x:v>52.31120300292969</x:v>
      </x:c>
      <x:c r="G372" s="48" t="n">
        <x:v>1</x:v>
      </x:c>
      <x:c r="H372" s="50" t="n">
        <x:v>0.8162140846252441</x:v>
      </x:c>
      <x:c r="I372" s="48" t="n">
        <x:v>1</x:v>
      </x:c>
    </x:row>
    <x:row r="373">
      <x:c r="A373" s="48" t="str">
        <x:v>CT0394_A6_001</x:v>
      </x:c>
      <x:c r="B373" s="48" t="str">
        <x:v>CT0394</x:v>
      </x:c>
      <x:c r="C373" s="48" t="str">
        <x:v>Adalimumab</x:v>
      </x:c>
      <x:c r="D373" s="73" t="n">
        <x:v>46.3</x:v>
      </x:c>
      <x:c r="E373" s="73" t="n">
        <x:v>52.2572021484375</x:v>
      </x:c>
      <x:c r="F373" s="73" t="n">
        <x:v>52.2572021484375</x:v>
      </x:c>
      <x:c r="G373" s="48" t="n">
        <x:v>1</x:v>
      </x:c>
      <x:c r="H373" s="50" t="n">
        <x:v>0.8166104555130005</x:v>
      </x:c>
      <x:c r="I373" s="48" t="n">
        <x:v>1</x:v>
      </x:c>
    </x:row>
    <x:row r="374">
      <x:c r="A374" s="48" t="str">
        <x:v>CT0394_A8_001</x:v>
      </x:c>
      <x:c r="B374" s="48" t="str">
        <x:v>CT0394</x:v>
      </x:c>
      <x:c r="C374" s="48" t="str">
        <x:v>Adalimumab</x:v>
      </x:c>
      <x:c r="D374" s="73" t="n">
        <x:v>42.4</x:v>
      </x:c>
      <x:c r="E374" s="73" t="n">
        <x:v>54.10682678222656</x:v>
      </x:c>
      <x:c r="F374" s="73" t="n">
        <x:v>54.10682678222656</x:v>
      </x:c>
      <x:c r="G374" s="48" t="n">
        <x:v>1</x:v>
      </x:c>
      <x:c r="H374" s="50" t="n">
        <x:v>0.8151736259460449</x:v>
      </x:c>
      <x:c r="I374" s="48" t="n">
        <x:v>1</x:v>
      </x:c>
    </x:row>
    <x:row r="375">
      <x:c r="A375" s="48" t="str">
        <x:v>CT0729_A1_001</x:v>
      </x:c>
      <x:c r="B375" s="48" t="str">
        <x:v>CT0729</x:v>
      </x:c>
      <x:c r="C375" s="48" t="str">
        <x:v>Etanercept</x:v>
      </x:c>
      <x:c r="D375" s="73" t="n">
        <x:v>15.2</x:v>
      </x:c>
      <x:c r="E375" s="73" t="n">
        <x:v>8.242351531982422</x:v>
      </x:c>
      <x:c r="F375" s="73" t="n">
        <x:v>8.242351531982422</x:v>
      </x:c>
      <x:c r="G375" s="48" t="n">
        <x:v>1</x:v>
      </x:c>
      <x:c r="H375" s="50" t="n">
        <x:v>0.30830779671669</x:v>
      </x:c>
      <x:c r="I375" s="48" t="n">
        <x:v>0</x:v>
      </x:c>
    </x:row>
    <x:row r="376">
      <x:c r="A376" s="48" t="str">
        <x:v>CT0734_A1_001</x:v>
      </x:c>
      <x:c r="B376" s="48" t="str">
        <x:v>CT0734</x:v>
      </x:c>
      <x:c r="C376" s="48" t="str">
        <x:v>Ustekinumab</x:v>
      </x:c>
      <x:c r="D376" s="73" t="n">
        <x:v>5.4</x:v>
      </x:c>
      <x:c r="E376" s="73" t="n">
        <x:v>5.219583034515381</x:v>
      </x:c>
      <x:c r="F376" s="73" t="n">
        <x:v>5.219583034515381</x:v>
      </x:c>
      <x:c r="G376" s="48" t="n">
        <x:v>0</x:v>
      </x:c>
      <x:c r="H376" s="50" t="n">
        <x:v>0.0228768959641456</x:v>
      </x:c>
      <x:c r="I376" s="48" t="n">
        <x:v>0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47213cb1c826442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2" hidden="0" customWidth="1"/>
    <x:col min="3" max="3" width="18" hidden="0" customWidth="1"/>
  </x:cols>
  <x:sheetData>
    <x:row r="1" ht="32" customHeight="1">
      <x:c r="A1" s="4" t="str">
        <x:v>Runtime, Environment, and Reproducibility Metadata</x:v>
      </x:c>
      <x:c r="B1" s="4" t="str">
        <x:v>Runtime, Environment, and Reproducibility Metadata</x:v>
      </x:c>
      <x:c r="C1" s="4" t="str">
        <x:v>Runtime, Environment, and Reproducibility Metadata</x:v>
      </x:c>
      <x:c r="D1" s="4" t="str">
        <x:v>Runtime, Environment, and Reproducibility Metadata</x:v>
      </x:c>
      <x:c r="E1" s="4" t="str">
        <x:v>Runtime, Environment, and Reproducibility Metadata</x:v>
      </x:c>
      <x:c r="F1" s="4" t="str">
        <x:v>Runtime, Environment, and Reproducibility Metadata</x:v>
      </x:c>
    </x:row>
    <x:row r="3" ht="30" customHeight="1">
      <x:c r="A3" s="41" t="str">
        <x:v>Metadata field</x:v>
      </x:c>
      <x:c r="B3" s="43" t="str">
        <x:v>Value</x:v>
      </x:c>
    </x:row>
    <x:row r="4">
      <x:c r="A4" s="47" t="str">
        <x:v>run_timestamp_utc</x:v>
      </x:c>
      <x:c r="B4" s="47" t="str">
        <x:v>2026-08-02T18:33:11.431358+00:00 UTC</x:v>
      </x:c>
    </x:row>
    <x:row r="5">
      <x:c r="A5" s="48" t="str">
        <x:v>input_file</x:v>
      </x:c>
      <x:c r="B5" s="48" t="str">
        <x:v>outputs\IDC_modeling_table_final_model_ready.xlsx</x:v>
      </x:c>
    </x:row>
    <x:row r="6">
      <x:c r="A6" s="48" t="str">
        <x:v>input_sha256</x:v>
      </x:c>
      <x:c r="B6" s="48" t="str">
        <x:v>1B64526057CE479A94DAC4F622F46FA9C22EF31E16DC892DC086BBAC08A64AA1</x:v>
      </x:c>
    </x:row>
    <x:row r="7">
      <x:c r="A7" s="48" t="str">
        <x:v>split_file</x:v>
      </x:c>
      <x:c r="B7" s="48" t="str">
        <x:v>work\modeling_artifacts\split_audit.csv</x:v>
      </x:c>
    </x:row>
    <x:row r="8">
      <x:c r="A8" s="48" t="str">
        <x:v>split_sha256</x:v>
      </x:c>
      <x:c r="B8" s="48" t="str">
        <x:v>DF383A3FC8565644745FBF87D588FDB1AA151209AF70808593337317085A5B0C</x:v>
      </x:c>
    </x:row>
    <x:row r="9">
      <x:c r="A9" s="48" t="str">
        <x:v>rows</x:v>
      </x:c>
      <x:c r="B9" s="48" t="n">
        <x:v>2611</x:v>
      </x:c>
    </x:row>
    <x:row r="10">
      <x:c r="A10" s="48" t="str">
        <x:v>development_rows</x:v>
      </x:c>
      <x:c r="B10" s="48" t="n">
        <x:v>2237</x:v>
      </x:c>
    </x:row>
    <x:row r="11">
      <x:c r="A11" s="48" t="str">
        <x:v>test_rows</x:v>
      </x:c>
      <x:c r="B11" s="48" t="n">
        <x:v>374</x:v>
      </x:c>
    </x:row>
    <x:row r="12">
      <x:c r="A12" s="48" t="str">
        <x:v>feature_count</x:v>
      </x:c>
      <x:c r="B12" s="48" t="n">
        <x:v>29</x:v>
      </x:c>
    </x:row>
    <x:row r="13">
      <x:c r="A13" s="48" t="str">
        <x:v>categorical_feature_count</x:v>
      </x:c>
      <x:c r="B13" s="48" t="n">
        <x:v>16</x:v>
      </x:c>
    </x:row>
    <x:row r="14">
      <x:c r="A14" s="48" t="str">
        <x:v>numeric_and_binary_feature_count</x:v>
      </x:c>
      <x:c r="B14" s="48" t="n">
        <x:v>13</x:v>
      </x:c>
    </x:row>
    <x:row r="15">
      <x:c r="A15" s="48" t="str">
        <x:v>tabpfn_version</x:v>
      </x:c>
      <x:c r="B15" s="48" t="str">
        <x:v>8.2.0</x:v>
      </x:c>
    </x:row>
    <x:row r="16">
      <x:c r="A16" s="48" t="str">
        <x:v>tabpfn_model_version</x:v>
      </x:c>
      <x:c r="B16" s="48" t="str">
        <x:v>TabPFN-3 default checkpoint</x:v>
      </x:c>
    </x:row>
    <x:row r="17">
      <x:c r="A17" s="48" t="str">
        <x:v>n_estimators</x:v>
      </x:c>
      <x:c r="B17" s="48" t="n">
        <x:v>8</x:v>
      </x:c>
    </x:row>
    <x:row r="18">
      <x:c r="A18" s="48" t="str">
        <x:v>seed</x:v>
      </x:c>
      <x:c r="B18" s="48" t="n">
        <x:v>20260802</x:v>
      </x:c>
    </x:row>
    <x:row r="19">
      <x:c r="A19" s="48" t="str">
        <x:v>cv_folds</x:v>
      </x:c>
      <x:c r="B19" s="48" t="n">
        <x:v>5</x:v>
      </x:c>
    </x:row>
    <x:row r="20">
      <x:c r="A20" s="48" t="str">
        <x:v>permutation_repeats</x:v>
      </x:c>
      <x:c r="B20" s="48" t="n">
        <x:v>3</x:v>
      </x:c>
    </x:row>
    <x:row r="21">
      <x:c r="A21" s="48" t="str">
        <x:v>python_version</x:v>
      </x:c>
      <x:c r="B21" s="48" t="str">
        <x:v>3.12.13</x:v>
      </x:c>
    </x:row>
    <x:row r="22">
      <x:c r="A22" s="48" t="str">
        <x:v>python_executable</x:v>
      </x:c>
      <x:c r="B22" s="48" t="str">
        <x:v>C:\Users\BulrushMarry\Documents\Codex\2026-08-02\1-bevacizumab-cd22-target-mapping-audit\.venv-tabpfn\Scripts\python.exe</x:v>
      </x:c>
    </x:row>
    <x:row r="23">
      <x:c r="A23" s="48" t="str">
        <x:v>torch_version</x:v>
      </x:c>
      <x:c r="B23" s="48" t="str">
        <x:v>2.13.0+cpu</x:v>
      </x:c>
    </x:row>
    <x:row r="24">
      <x:c r="A24" s="48" t="str">
        <x:v>torch_cuda_available</x:v>
      </x:c>
      <x:c r="B24" s="48" t="str">
        <x:v>No</x:v>
      </x:c>
    </x:row>
    <x:row r="25">
      <x:c r="A25" s="48" t="str">
        <x:v>torch_cuda_version</x:v>
      </x:c>
      <x:c r="B25" s="48" t="str"/>
    </x:row>
    <x:row r="26">
      <x:c r="A26" s="48" t="str">
        <x:v>sklearn_version</x:v>
      </x:c>
      <x:c r="B26" s="48" t="str">
        <x:v>1.9.0</x:v>
      </x:c>
    </x:row>
    <x:row r="27">
      <x:c r="A27" s="48" t="str">
        <x:v>pandas_version</x:v>
      </x:c>
      <x:c r="B27" s="48" t="str">
        <x:v>3.0.5</x:v>
      </x:c>
    </x:row>
    <x:row r="28">
      <x:c r="A28" s="48" t="str">
        <x:v>numpy_version</x:v>
      </x:c>
      <x:c r="B28" s="48" t="str">
        <x:v>2.5.1</x:v>
      </x:c>
    </x:row>
    <x:row r="29">
      <x:c r="A29" s="48" t="str">
        <x:v>model_cache</x:v>
      </x:c>
      <x:c r="B29" s="48" t="str">
        <x:v>work\tabpfn_model_cache</x:v>
      </x:c>
    </x:row>
    <x:row r="30">
      <x:c r="A30" s="48" t="str">
        <x:v>license</x:v>
      </x:c>
      <x:c r="B30" s="48" t="str">
        <x:v>TabPFN-3 Non-Commercial License v1.0</x:v>
      </x:c>
    </x:row>
    <x:row r="31">
      <x:c r="A31" s="48" t="str">
        <x:v>full_pipeline_wall_seconds</x:v>
      </x:c>
      <x:c r="B31" s="48" t="n">
        <x:v>1238.5</x:v>
      </x:c>
    </x:row>
    <x:row r="32">
      <x:c r="A32" s="48" t="str">
        <x:v>bootstrap_repeats</x:v>
      </x:c>
      <x:c r="B32" s="48" t="n">
        <x:v>2000</x:v>
      </x:c>
    </x:row>
    <x:row r="35" ht="30" customHeight="1">
      <x:c r="A35" s="41" t="str">
        <x:v>Outcome</x:v>
      </x:c>
      <x:c r="B35" s="42" t="str">
        <x:v>Phase</x:v>
      </x:c>
      <x:c r="C35" s="43" t="str">
        <x:v>Seconds</x:v>
      </x:c>
    </x:row>
    <x:row r="36">
      <x:c r="A36" s="47" t="str">
        <x:v>continuous</x:v>
      </x:c>
      <x:c r="B36" s="47" t="str">
        <x:v>fit</x:v>
      </x:c>
      <x:c r="C36" s="74" t="n">
        <x:v>37.90894979999575</x:v>
      </x:c>
    </x:row>
    <x:row r="37">
      <x:c r="A37" s="48" t="str">
        <x:v>continuous</x:v>
      </x:c>
      <x:c r="B37" s="48" t="str">
        <x:v>test_predict</x:v>
      </x:c>
      <x:c r="C37" s="75" t="n">
        <x:v>5.549071800007368</x:v>
      </x:c>
    </x:row>
    <x:row r="38">
      <x:c r="A38" s="48" t="str">
        <x:v>binary</x:v>
      </x:c>
      <x:c r="B38" s="48" t="str">
        <x:v>fit</x:v>
      </x:c>
      <x:c r="C38" s="75" t="n">
        <x:v>31.93338680001034</x:v>
      </x:c>
    </x:row>
    <x:row r="39">
      <x:c r="A39" s="48" t="str">
        <x:v>binary</x:v>
      </x:c>
      <x:c r="B39" s="48" t="str">
        <x:v>test_predict</x:v>
      </x:c>
      <x:c r="C39" s="75" t="n">
        <x:v>4.916678800000227</x:v>
      </x:c>
    </x:row>
  </x:sheetData>
  <x:mergeCells>
    <x:mergeCell ref="A1:F1"/>
  </x:mergeCells>
  <x:pageMargins left="0.7" right="0.7" top="0.75" bottom="0.75" header="0.3" footer="0.3"/>
  <x:tableParts count="2">
    <x:tablePart xmlns:r="http://schemas.openxmlformats.org/officeDocument/2006/relationships" r:id="Rf8bac7d7f449434b"/>
    <x:tablePart xmlns:r="http://schemas.openxmlformats.org/officeDocument/2006/relationships" r:id="Rf76e20429a1b488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05" hidden="0" customWidth="1"/>
  </x:cols>
  <x:sheetData>
    <x:row r="1" ht="32" customHeight="1">
      <x:c r="A1" s="4" t="str">
        <x:v>Methods, Interpretation, and Use Limitations</x:v>
      </x:c>
      <x:c r="B1" s="4" t="str">
        <x:v>Methods, Interpretation, and Use Limitations</x:v>
      </x:c>
      <x:c r="C1" s="4" t="str">
        <x:v>Methods, Interpretation, and Use Limitations</x:v>
      </x:c>
      <x:c r="D1" s="4" t="str">
        <x:v>Methods, Interpretation, and Use Limitations</x:v>
      </x:c>
      <x:c r="E1" s="4" t="str">
        <x:v>Methods, Interpretation, and Use Limitations</x:v>
      </x:c>
      <x:c r="F1" s="4" t="str">
        <x:v>Methods, Interpretation, and Use Limitations</x:v>
      </x:c>
      <x:c r="G1" s="4" t="str">
        <x:v>Methods, Interpretation, and Use Limitations</x:v>
      </x:c>
      <x:c r="H1" s="4" t="str">
        <x:v>Methods, Interpretation, and Use Limitations</x:v>
      </x:c>
    </x:row>
    <x:row r="3" ht="30" customHeight="1">
      <x:c r="A3" s="41" t="str">
        <x:v>Topic</x:v>
      </x:c>
      <x:c r="B3" s="43" t="str">
        <x:v>Audit note / source</x:v>
      </x:c>
    </x:row>
    <x:row r="4" ht="40" customHeight="1">
      <x:c r="A4" s="47" t="str">
        <x:v>Comparison design</x:v>
      </x:c>
      <x:c r="B4" s="76" t="str">
        <x:v>Same 29 primary features, same split_audit.csv, same 2,237-row development set and sealed 374-row test set. Molecule name and study/source identifiers are excluded from the primary features.</x:v>
      </x:c>
    </x:row>
    <x:row r="5" ht="40" customHeight="1">
      <x:c r="A5" s="48" t="str">
        <x:v>Preprocessing</x:v>
      </x:c>
      <x:c r="B5" s="77" t="str">
        <x:v>TabPFN receives native categorical columns with explicit category indices and numeric columns without one-hot encoding or scaling. The current random forest retains its existing imputation, scaling, and one-hot pipeline.</x:v>
      </x:c>
    </x:row>
    <x:row r="6" ht="40" customHeight="1">
      <x:c r="A6" s="48" t="str">
        <x:v>Model selection</x:v>
      </x:c>
      <x:c r="B6" s="77" t="str">
        <x:v>Development performance uses 5-fold GroupKFold by model_split_group. No row from the sealed test set is used to choose models or thresholds.</x:v>
      </x:c>
    </x:row>
    <x:row r="7" ht="40" customHeight="1">
      <x:c r="A7" s="48" t="str">
        <x:v>Binary threshold</x:v>
      </x:c>
      <x:c r="B7" s="77" t="str">
        <x:v>F1 and balanced accuracy use a fixed 0.5 probability threshold. No post-hoc threshold tuning was performed on the test set.</x:v>
      </x:c>
    </x:row>
    <x:row r="8" ht="40" customHeight="1">
      <x:c r="A8" s="48" t="str">
        <x:v>Uncertainty</x:v>
      </x:c>
      <x:c r="B8" s="77" t="str">
        <x:v>Paired bootstrap resamples model_split_group 2,000 times. Improvement is direction-normalized so positive values always favor TabPFN.</x:v>
      </x:c>
    </x:row>
    <x:row r="9" ht="40" customHeight="1">
      <x:c r="A9" s="48" t="str">
        <x:v>Feature importance</x:v>
      </x:c>
      <x:c r="B9" s="77" t="str">
        <x:v>Permutation importance measures predictive contribution on this test set. It is not a causal effect and correlated features may share importance.</x:v>
      </x:c>
    </x:row>
    <x:row r="10" ht="40" customHeight="1">
      <x:c r="A10" s="48" t="str">
        <x:v>Generalizability</x:v>
      </x:c>
      <x:c r="B10" s="77" t="str">
        <x:v>This is internal grouped validation. It does not establish performance for entirely unseen molecules or replace an external validation cohort.</x:v>
      </x:c>
    </x:row>
    <x:row r="11" ht="40" customHeight="1">
      <x:c r="A11" s="48" t="str">
        <x:v>Compute</x:v>
      </x:c>
      <x:c r="B11" s="77" t="str">
        <x:v>This run used torch 2.13.0+cpu. Full pipeline wall time was about 20.6 minutes. Speed is not a GPU benchmark.</x:v>
      </x:c>
    </x:row>
    <x:row r="12" ht="40" customHeight="1">
      <x:c r="A12" s="48" t="str">
        <x:v>License</x:v>
      </x:c>
      <x:c r="B12" s="77" t="str">
        <x:v>TabPFN-3 weights and outputs are covered by the TabPFN-3 Non-Commercial License v1.0. Commercial or production use requires separate authorization.</x:v>
      </x:c>
    </x:row>
    <x:row r="13" ht="40" customHeight="1">
      <x:c r="A13" s="48" t="str">
        <x:v>Official release</x:v>
      </x:c>
      <x:c r="B13" s="77" t="str">
        <x:v>https://pypi.org/project/tabpfn/</x:v>
      </x:c>
    </x:row>
    <x:row r="14" ht="40" customHeight="1">
      <x:c r="A14" s="48" t="str">
        <x:v>Official release notes</x:v>
      </x:c>
      <x:c r="B14" s="77" t="str">
        <x:v>https://github.com/PriorLabs/TabPFN/releases/tag/v8.2.0</x:v>
      </x:c>
    </x:row>
    <x:row r="15" ht="40" customHeight="1">
      <x:c r="A15" s="48" t="str">
        <x:v>Weight access</x:v>
      </x:c>
      <x:c r="B15" s="77" t="str">
        <x:v>https://docs.priorlabs.ai/how-to-access-gated-models</x:v>
      </x:c>
    </x:row>
    <x:row r="16" ht="40" customHeight="1">
      <x:c r="A16" s="48" t="str">
        <x:v>Model license</x:v>
      </x:c>
      <x:c r="B16" s="77" t="str">
        <x:v>https://huggingface.co/Prior-Labs/tabpfn_3/blob/main/LICENSE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16a02dd8dcfb4b24"/>
  </x:tableParts>
</x:worksheet>
</file>